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Science_Shay\Santander2025_Ciencia-de-Dados-com-Python\Criando-um-Dashboard-de-Vendas-do-Xbox-com-Excel\"/>
    </mc:Choice>
  </mc:AlternateContent>
  <xr:revisionPtr revIDLastSave="0" documentId="13_ncr:1_{9A8AD35C-AFED-4D9D-A4B4-C5053D05E156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Tabelas Dinâmicas" sheetId="5" r:id="rId3"/>
    <sheet name="D̳ashboard" sheetId="4" r:id="rId4"/>
  </sheets>
  <definedNames>
    <definedName name="SegmentaçãodeDados_Auto_Renewal">#N/A</definedName>
    <definedName name="SegmentaçãodeDados_EA_Play_Season_Pass">#N/A</definedName>
    <definedName name="SegmentaçãodeDados_Meses__Start_Date">#N/A</definedName>
    <definedName name="SegmentaçãodeDados_Minecraft_Season_Pass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4" l="1"/>
  <c r="M44" i="4"/>
</calcChain>
</file>

<file path=xl/sharedStrings.xml><?xml version="1.0" encoding="utf-8"?>
<sst xmlns="http://schemas.openxmlformats.org/spreadsheetml/2006/main" count="2065" uniqueCount="332">
  <si>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</si>
  <si>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</si>
  <si>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</si>
  <si>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</si>
  <si>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</si>
  <si>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</si>
  <si>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</si>
  <si>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</si>
  <si>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</si>
  <si>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</si>
  <si>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</si>
  <si>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</si>
  <si>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</si>
  <si>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</si>
  <si>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</si>
  <si>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</si>
  <si>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</si>
  <si>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</si>
  <si>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</si>
  <si>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</si>
  <si>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</si>
  <si>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</si>
  <si>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</si>
  <si>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</si>
  <si>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</si>
  <si>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</si>
  <si>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</si>
  <si>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</si>
  <si>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</si>
  <si>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</si>
  <si>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</si>
  <si>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</si>
  <si>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</si>
  <si>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</si>
  <si>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</si>
  <si>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</si>
  <si>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</si>
  <si>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</si>
  <si>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</si>
  <si>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</si>
  <si>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</si>
  <si>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</si>
  <si>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</si>
  <si>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</si>
  <si>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</si>
  <si>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</si>
  <si>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</si>
  <si>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</si>
  <si>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</si>
  <si>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</si>
  <si>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</si>
  <si>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</si>
  <si>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</si>
  <si>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</si>
  <si>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</si>
  <si>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</si>
  <si>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</si>
  <si>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</si>
  <si>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</si>
  <si>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</si>
  <si>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</si>
  <si>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</si>
  <si>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</si>
  <si>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</si>
  <si>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</si>
  <si>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</si>
  <si>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</si>
  <si>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</si>
  <si>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</si>
  <si>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</si>
  <si>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</si>
  <si>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</si>
  <si>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</si>
  <si>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</si>
  <si>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</si>
  <si>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</si>
  <si>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</si>
  <si>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</si>
  <si>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</si>
  <si>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</si>
  <si>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</si>
  <si>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</si>
  <si>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</si>
  <si>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</si>
  <si>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</si>
  <si>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</si>
  <si>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</si>
  <si>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</si>
  <si>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</si>
  <si>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</si>
  <si>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</si>
  <si>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</si>
  <si>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</si>
  <si>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</si>
  <si>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</si>
  <si>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</si>
  <si>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</si>
  <si>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</si>
  <si>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</si>
  <si>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</si>
  <si>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</si>
  <si>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</si>
  <si>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</si>
  <si>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</si>
  <si>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</si>
  <si>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</si>
  <si>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</si>
  <si>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</si>
  <si>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</si>
  <si>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</si>
  <si>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</si>
  <si>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</si>
  <si>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</si>
  <si>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</si>
  <si>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</si>
  <si>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</si>
  <si>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</si>
  <si>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</si>
  <si>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</si>
  <si>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</si>
  <si>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</si>
  <si>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</si>
  <si>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</si>
  <si>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</si>
  <si>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</si>
  <si>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</si>
  <si>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</si>
  <si>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</si>
  <si>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</si>
  <si>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</si>
  <si>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</si>
  <si>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</si>
  <si>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</si>
  <si>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</si>
  <si>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</si>
  <si>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</si>
  <si>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</si>
  <si>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</si>
  <si>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</si>
  <si>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</si>
  <si>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</si>
  <si>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</si>
  <si>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</si>
  <si>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</si>
  <si>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</si>
  <si>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</si>
  <si>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</si>
  <si>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</si>
  <si>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</si>
  <si>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</si>
  <si>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</si>
  <si>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</si>
  <si>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</si>
  <si>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</si>
  <si>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</si>
  <si>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</si>
  <si>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</si>
  <si>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</si>
  <si>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</si>
  <si>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</si>
  <si>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</si>
  <si>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</si>
  <si>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</si>
  <si>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</si>
  <si>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</si>
  <si>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</si>
  <si>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</si>
  <si>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</si>
  <si>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</si>
  <si>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</si>
  <si>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</si>
  <si>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</si>
  <si>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</si>
  <si>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</si>
  <si>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</si>
  <si>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</si>
  <si>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</si>
  <si>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</si>
  <si>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</si>
  <si>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</si>
  <si>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</si>
  <si>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</si>
  <si>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</si>
  <si>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</si>
  <si>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</si>
  <si>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</si>
  <si>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</si>
  <si>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</si>
  <si>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</si>
  <si>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</si>
  <si>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</si>
  <si>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</si>
  <si>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</si>
  <si>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</si>
  <si>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</si>
  <si>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</si>
  <si>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</si>
  <si>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</si>
  <si>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</si>
  <si>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</si>
  <si>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</si>
  <si>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</si>
  <si>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</si>
  <si>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</si>
  <si>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</si>
  <si>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</si>
  <si>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</si>
  <si>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</si>
  <si>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</si>
  <si>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</si>
  <si>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</si>
  <si>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</si>
  <si>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</si>
  <si>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</si>
  <si>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</si>
  <si>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</si>
  <si>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</si>
  <si>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</si>
  <si>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</si>
  <si>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</si>
  <si>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</si>
  <si>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</si>
  <si>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</si>
  <si>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</si>
  <si>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</si>
  <si>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</si>
  <si>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</si>
  <si>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</si>
  <si>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</si>
  <si>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</si>
  <si>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</si>
  <si>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</si>
  <si>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</si>
  <si>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</si>
  <si>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</si>
  <si>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</si>
  <si>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</si>
  <si>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</si>
  <si>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</si>
  <si>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</si>
  <si>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</si>
  <si>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</si>
  <si>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</si>
  <si>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</si>
  <si>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</si>
  <si>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</si>
  <si>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</si>
  <si>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</si>
  <si>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</si>
  <si>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</si>
  <si>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</si>
  <si>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</si>
  <si>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</si>
  <si>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</si>
  <si>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</si>
  <si>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</si>
  <si>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</si>
  <si>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</si>
  <si>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</si>
  <si>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</si>
  <si>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</si>
  <si>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</si>
  <si>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</si>
  <si>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</si>
  <si>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</si>
  <si>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</si>
  <si>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</si>
  <si>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</si>
  <si>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</si>
  <si>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</si>
  <si>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</si>
  <si>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</si>
  <si>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</si>
  <si>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</si>
  <si>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</si>
  <si>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</si>
  <si>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</si>
  <si>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</si>
  <si>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</si>
  <si>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</si>
  <si>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</si>
  <si>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</si>
  <si>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</si>
  <si>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</si>
  <si>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</si>
  <si>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</si>
  <si>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</si>
  <si>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</si>
  <si>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</si>
  <si>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</si>
  <si>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</si>
  <si>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</si>
  <si>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</si>
  <si>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</si>
  <si>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</si>
  <si>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</si>
  <si>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</si>
  <si>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</si>
  <si>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</si>
  <si>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</si>
  <si>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</si>
  <si>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</si>
  <si>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</si>
  <si>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</si>
  <si>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</si>
  <si>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</si>
  <si>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</si>
  <si>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</si>
  <si>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</si>
  <si>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</si>
  <si>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</si>
  <si>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</si>
  <si>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</si>
  <si>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</si>
  <si>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</si>
  <si>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</si>
  <si>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Rótulos de Coluna</t>
  </si>
  <si>
    <t>(Tudo)</t>
  </si>
  <si>
    <t>Contagem de Plan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</si>
  <si>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</si>
  <si>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</si>
  <si>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</si>
  <si>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</si>
  <si>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</si>
  <si>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</si>
  <si>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</si>
  <si>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</si>
  <si>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</si>
  <si>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</si>
  <si>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</si>
  <si>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</si>
  <si>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r>
      <rPr>
        <b/>
        <u/>
        <sz val="28"/>
        <color theme="0"/>
        <rFont val="Amasis MT Pro Light"/>
        <family val="1"/>
      </rPr>
      <t>Faturamento 2024</t>
    </r>
    <r>
      <rPr>
        <sz val="28"/>
        <color theme="0"/>
        <rFont val="Amasis MT Pro Light"/>
        <family val="1"/>
      </rPr>
      <t>: Análise de Receita por Plano, Período e Características da Assinatura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</si>
</sst>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0"/>
      <name val="Amasis MT Pro Light"/>
      <family val="1"/>
    </font>
    <font>
      <b/>
      <u/>
      <sz val="28"/>
      <color theme="0"/>
      <name val="Amasis MT Pro Light"/>
      <family val="1"/>
    </font>
    <font>
      <sz val="64"/>
      <color theme="1"/>
      <name val="Amasis MT Pro Light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BF3FB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mediumDashed">
        <color theme="3"/>
      </left>
      <right/>
      <top style="mediumDashed">
        <color theme="3"/>
      </top>
      <bottom/>
      <diagonal/>
    </border>
    <border>
      <left/>
      <right/>
      <top style="mediumDashed">
        <color theme="3"/>
      </top>
      <bottom/>
      <diagonal/>
    </border>
    <border>
      <left/>
      <right style="mediumDashed">
        <color theme="3"/>
      </right>
      <top style="mediumDashed">
        <color theme="3"/>
      </top>
      <bottom/>
      <diagonal/>
    </border>
    <border>
      <left style="mediumDashed">
        <color theme="3"/>
      </left>
      <right/>
      <top/>
      <bottom/>
      <diagonal/>
    </border>
    <border>
      <left/>
      <right style="mediumDashed">
        <color theme="3"/>
      </right>
      <top/>
      <bottom/>
      <diagonal/>
    </border>
    <border>
      <left style="mediumDashed">
        <color theme="3"/>
      </left>
      <right/>
      <top/>
      <bottom style="mediumDashed">
        <color theme="3"/>
      </bottom>
      <diagonal/>
    </border>
    <border>
      <left/>
      <right/>
      <top/>
      <bottom style="mediumDashed">
        <color theme="3"/>
      </bottom>
      <diagonal/>
    </border>
    <border>
      <left/>
      <right style="mediumDashed">
        <color theme="3"/>
      </right>
      <top/>
      <bottom style="mediumDashed">
        <color theme="3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4" fillId="9" borderId="2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/>
  </cellXfs>
  <cellStyles count="3">
    <cellStyle name="Moeda" xfId="2" builtinId="4"/>
    <cellStyle name="Normal" xfId="0" builtinId="0"/>
    <cellStyle name="Título 1" xfId="1" builtinId="16"/>
  </cellStyles>
  <dxfs count="57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>
          <bgColor rgb="FFFFCCCC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1" xr9:uid="{CF2A6467-A220-4224-BDE3-140227DE190A}">
      <tableStyleElement type="wholeTable" dxfId="26"/>
    </tableStyle>
  </tableStyles>
  <colors>
    <mruColors>
      <color rgb="FFFFCCCC"/>
      <color rgb="FFEBF3FB"/>
      <color rgb="FFCCECFF"/>
      <color rgb="FFCCCCFF"/>
      <color rgb="FF22C55E"/>
      <color rgb="FFE8E6E9"/>
      <color rgb="FF5BF6A8"/>
      <color rgb="FF000000"/>
      <color rgb="FFE0E0E0"/>
      <color rgb="FFEDEDED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[base.xlsx]Tabelas Dinâmicas!Contagem_Automatico-Plano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Light" panose="02040304050005020304" pitchFamily="18" charset="0"/>
                <a:ea typeface="+mn-ea"/>
                <a:cs typeface="+mn-cs"/>
              </a:defRPr>
            </a:pPr>
            <a:r>
              <a:rPr lang="pt-BR" sz="1800">
                <a:latin typeface="Amasis MT Pro Light" panose="02040304050005020304" pitchFamily="18" charset="0"/>
              </a:rPr>
              <a:t>Qtde</a:t>
            </a:r>
            <a:r>
              <a:rPr lang="pt-BR" sz="1800" baseline="0">
                <a:latin typeface="Amasis MT Pro Light" panose="02040304050005020304" pitchFamily="18" charset="0"/>
              </a:rPr>
              <a:t> Assinaturas em 2024</a:t>
            </a:r>
            <a:br>
              <a:rPr lang="pt-BR" sz="1800" baseline="0">
                <a:latin typeface="Amasis MT Pro Light" panose="02040304050005020304" pitchFamily="18" charset="0"/>
              </a:rPr>
            </a:br>
            <a:r>
              <a:rPr lang="pt-BR" sz="1800" baseline="0">
                <a:latin typeface="Amasis MT Pro Light" panose="02040304050005020304" pitchFamily="18" charset="0"/>
              </a:rPr>
              <a:t>Assinatura Automática/Plano/Recorrência</a:t>
            </a:r>
            <a:endParaRPr lang="pt-BR" sz="1800">
              <a:latin typeface="Amasis MT Pro Light" panose="02040304050005020304" pitchFamily="18" charset="0"/>
            </a:endParaRPr>
          </a:p>
        </c:rich>
      </c:tx>
      <c:layout>
        <c:manualLayout>
          <c:xMode val="edge"/>
          <c:yMode val="edge"/>
          <c:x val="0.16790030644948625"/>
          <c:y val="0.113056599632363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masis MT Pro Light" panose="0204030405000502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Dinâmicas'!$G$27:$G$28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'Tabelas Dinâmicas'!$F$29:$F$37</c:f>
              <c:multiLvlStrCache>
                <c:ptCount val="6"/>
                <c:lvl>
                  <c:pt idx="0">
                    <c:v>Core</c:v>
                  </c:pt>
                  <c:pt idx="1">
                    <c:v>Standard</c:v>
                  </c:pt>
                  <c:pt idx="2">
                    <c:v>Ultimate</c:v>
                  </c:pt>
                  <c:pt idx="3">
                    <c:v>Core</c:v>
                  </c:pt>
                  <c:pt idx="4">
                    <c:v>Standard</c:v>
                  </c:pt>
                  <c:pt idx="5">
                    <c:v>Ultimate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'Tabelas Dinâmicas'!$G$29:$G$37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19</c:v>
                </c:pt>
                <c:pt idx="4">
                  <c:v>23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3-4EAE-888D-AA652FBF8168}"/>
            </c:ext>
          </c:extLst>
        </c:ser>
        <c:ser>
          <c:idx val="1"/>
          <c:order val="1"/>
          <c:tx>
            <c:strRef>
              <c:f>'Tabelas Dinâmicas'!$H$27:$H$28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'Tabelas Dinâmicas'!$F$29:$F$37</c:f>
              <c:multiLvlStrCache>
                <c:ptCount val="6"/>
                <c:lvl>
                  <c:pt idx="0">
                    <c:v>Core</c:v>
                  </c:pt>
                  <c:pt idx="1">
                    <c:v>Standard</c:v>
                  </c:pt>
                  <c:pt idx="2">
                    <c:v>Ultimate</c:v>
                  </c:pt>
                  <c:pt idx="3">
                    <c:v>Core</c:v>
                  </c:pt>
                  <c:pt idx="4">
                    <c:v>Standard</c:v>
                  </c:pt>
                  <c:pt idx="5">
                    <c:v>Ultimate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'Tabelas Dinâmicas'!$H$29:$H$37</c:f>
              <c:numCache>
                <c:formatCode>General</c:formatCode>
                <c:ptCount val="6"/>
                <c:pt idx="0">
                  <c:v>37</c:v>
                </c:pt>
                <c:pt idx="1">
                  <c:v>40</c:v>
                </c:pt>
                <c:pt idx="2">
                  <c:v>34</c:v>
                </c:pt>
                <c:pt idx="3">
                  <c:v>12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63-4192-95F2-3C67BB67E7F4}"/>
            </c:ext>
          </c:extLst>
        </c:ser>
        <c:ser>
          <c:idx val="2"/>
          <c:order val="2"/>
          <c:tx>
            <c:strRef>
              <c:f>'Tabelas Dinâmicas'!$I$27:$I$28</c:f>
              <c:strCache>
                <c:ptCount val="1"/>
                <c:pt idx="0">
                  <c:v>Quarterly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'Tabelas Dinâmicas'!$F$29:$F$37</c:f>
              <c:multiLvlStrCache>
                <c:ptCount val="6"/>
                <c:lvl>
                  <c:pt idx="0">
                    <c:v>Core</c:v>
                  </c:pt>
                  <c:pt idx="1">
                    <c:v>Standard</c:v>
                  </c:pt>
                  <c:pt idx="2">
                    <c:v>Ultimate</c:v>
                  </c:pt>
                  <c:pt idx="3">
                    <c:v>Core</c:v>
                  </c:pt>
                  <c:pt idx="4">
                    <c:v>Standard</c:v>
                  </c:pt>
                  <c:pt idx="5">
                    <c:v>Ultimate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'Tabelas Dinâmicas'!$I$29:$I$37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14</c:v>
                </c:pt>
                <c:pt idx="3">
                  <c:v>20</c:v>
                </c:pt>
                <c:pt idx="4">
                  <c:v>21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63-4192-95F2-3C67BB67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84263039"/>
        <c:axId val="884257279"/>
      </c:barChart>
      <c:catAx>
        <c:axId val="88426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4257279"/>
        <c:crosses val="autoZero"/>
        <c:auto val="1"/>
        <c:lblAlgn val="ctr"/>
        <c:lblOffset val="100"/>
        <c:noMultiLvlLbl val="0"/>
      </c:catAx>
      <c:valAx>
        <c:axId val="88425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426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[base.xlsx]Tabelas Dinâmicas!Valores_Plano-Recorrencia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'Tabelas Dinâmicas'!$C$5:$C$8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1-46FE-A453-35BAAF7767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1-46FE-A453-35BAAF7767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61-46FE-A453-35BAAF7767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61-46FE-A453-35BAAF7767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61-46FE-A453-35BAAF7767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A61-46FE-A453-35BAAF7767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A61-46FE-A453-35BAAF7767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A61-46FE-A453-35BAAF7767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A61-46FE-A453-35BAAF77677C}"/>
              </c:ext>
            </c:extLst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Dinâmicas'!$C$9:$C$21</c:f>
              <c:numCache>
                <c:formatCode>_("R$"* #,##0.00_);_("R$"* \(#,##0.00\);_("R$"* "-"??_);_(@_)</c:formatCode>
                <c:ptCount val="9"/>
                <c:pt idx="0">
                  <c:v>5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61-46FE-A453-35BAAF77677C}"/>
            </c:ext>
          </c:extLst>
        </c:ser>
        <c:ser>
          <c:idx val="1"/>
          <c:order val="1"/>
          <c:tx>
            <c:strRef>
              <c:f>'Tabelas Dinâmicas'!$D$5:$D$8</c:f>
              <c:strCache>
                <c:ptCount val="1"/>
                <c:pt idx="0">
                  <c:v>fev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Dinâmicas'!$D$9:$D$21</c:f>
              <c:numCache>
                <c:formatCode>_("R$"* #,##0.00_);_("R$"* \(#,##0.00\);_("R$"* "-"??_);_(@_)</c:formatCode>
                <c:ptCount val="9"/>
                <c:pt idx="5">
                  <c:v>20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6-3BD0-4F09-858E-DE6B80560D14}"/>
            </c:ext>
          </c:extLst>
        </c:ser>
        <c:ser>
          <c:idx val="2"/>
          <c:order val="2"/>
          <c:tx>
            <c:strRef>
              <c:f>'Tabelas Dinâmicas'!$E$5:$E$8</c:f>
              <c:strCache>
                <c:ptCount val="1"/>
                <c:pt idx="0">
                  <c:v>mar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Dinâmicas'!$E$9:$E$21</c:f>
              <c:numCache>
                <c:formatCode>_("R$"* #,##0.00_);_("R$"* \(#,##0.00\);_("R$"* "-"??_);_(@_)</c:formatCode>
                <c:ptCount val="9"/>
                <c:pt idx="0">
                  <c:v>15</c:v>
                </c:pt>
                <c:pt idx="1">
                  <c:v>23</c:v>
                </c:pt>
                <c:pt idx="2">
                  <c:v>10</c:v>
                </c:pt>
                <c:pt idx="3">
                  <c:v>33</c:v>
                </c:pt>
                <c:pt idx="4">
                  <c:v>113</c:v>
                </c:pt>
                <c:pt idx="5">
                  <c:v>45</c:v>
                </c:pt>
                <c:pt idx="6">
                  <c:v>90</c:v>
                </c:pt>
                <c:pt idx="7">
                  <c:v>301</c:v>
                </c:pt>
                <c:pt idx="8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7-3BD0-4F09-858E-DE6B80560D14}"/>
            </c:ext>
          </c:extLst>
        </c:ser>
        <c:ser>
          <c:idx val="3"/>
          <c:order val="3"/>
          <c:tx>
            <c:strRef>
              <c:f>'Tabelas Dinâmicas'!$F$5:$F$8</c:f>
              <c:strCache>
                <c:ptCount val="1"/>
                <c:pt idx="0">
                  <c:v>abr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Dinâmicas'!$F$9:$F$21</c:f>
              <c:numCache>
                <c:formatCode>_("R$"* #,##0.00_);_("R$"* \(#,##0.00\);_("R$"* "-"??_);_(@_)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14</c:v>
                </c:pt>
                <c:pt idx="3">
                  <c:v>50</c:v>
                </c:pt>
                <c:pt idx="4">
                  <c:v>110</c:v>
                </c:pt>
                <c:pt idx="5">
                  <c:v>33</c:v>
                </c:pt>
                <c:pt idx="6">
                  <c:v>122</c:v>
                </c:pt>
                <c:pt idx="7">
                  <c:v>217</c:v>
                </c:pt>
                <c:pt idx="8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8-3BD0-4F09-858E-DE6B80560D14}"/>
            </c:ext>
          </c:extLst>
        </c:ser>
        <c:ser>
          <c:idx val="4"/>
          <c:order val="4"/>
          <c:tx>
            <c:strRef>
              <c:f>'Tabelas Dinâmicas'!$G$5:$G$8</c:f>
              <c:strCache>
                <c:ptCount val="1"/>
                <c:pt idx="0">
                  <c:v>mai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Dinâmicas'!$G$9:$G$21</c:f>
              <c:numCache>
                <c:formatCode>_("R$"* #,##0.00_);_("R$"* \(#,##0.00\);_("R$"* "-"??_);_(@_)</c:formatCode>
                <c:ptCount val="9"/>
                <c:pt idx="0">
                  <c:v>15</c:v>
                </c:pt>
                <c:pt idx="1">
                  <c:v>20</c:v>
                </c:pt>
                <c:pt idx="2">
                  <c:v>14</c:v>
                </c:pt>
                <c:pt idx="3">
                  <c:v>50</c:v>
                </c:pt>
                <c:pt idx="4">
                  <c:v>85</c:v>
                </c:pt>
                <c:pt idx="5">
                  <c:v>48</c:v>
                </c:pt>
                <c:pt idx="6">
                  <c:v>122</c:v>
                </c:pt>
                <c:pt idx="7">
                  <c:v>217</c:v>
                </c:pt>
                <c:pt idx="8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9-3BD0-4F09-858E-DE6B80560D14}"/>
            </c:ext>
          </c:extLst>
        </c:ser>
        <c:ser>
          <c:idx val="5"/>
          <c:order val="5"/>
          <c:tx>
            <c:strRef>
              <c:f>'Tabelas Dinâmicas'!$H$5:$H$8</c:f>
              <c:strCache>
                <c:ptCount val="1"/>
                <c:pt idx="0">
                  <c:v>jun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Dinâmicas'!$H$9:$H$21</c:f>
              <c:numCache>
                <c:formatCode>_("R$"* #,##0.00_);_("R$"* \(#,##0.00\);_("R$"* "-"??_);_(@_)</c:formatCode>
                <c:ptCount val="9"/>
                <c:pt idx="0">
                  <c:v>15</c:v>
                </c:pt>
                <c:pt idx="1">
                  <c:v>15</c:v>
                </c:pt>
                <c:pt idx="2">
                  <c:v>13</c:v>
                </c:pt>
                <c:pt idx="3">
                  <c:v>55</c:v>
                </c:pt>
                <c:pt idx="4">
                  <c:v>90</c:v>
                </c:pt>
                <c:pt idx="5">
                  <c:v>51</c:v>
                </c:pt>
                <c:pt idx="6">
                  <c:v>60</c:v>
                </c:pt>
                <c:pt idx="7">
                  <c:v>265</c:v>
                </c:pt>
                <c:pt idx="8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A-3BD0-4F09-858E-DE6B80560D14}"/>
            </c:ext>
          </c:extLst>
        </c:ser>
        <c:ser>
          <c:idx val="6"/>
          <c:order val="6"/>
          <c:tx>
            <c:strRef>
              <c:f>'Tabelas Dinâmicas'!$I$5:$I$8</c:f>
              <c:strCache>
                <c:ptCount val="1"/>
                <c:pt idx="0">
                  <c:v>jul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Dinâmicas'!$I$9:$I$21</c:f>
              <c:numCache>
                <c:formatCode>_("R$"* #,##0.00_);_("R$"* \(#,##0.00\);_("R$"* "-"??_);_(@_)</c:formatCode>
                <c:ptCount val="9"/>
                <c:pt idx="0">
                  <c:v>10</c:v>
                </c:pt>
                <c:pt idx="1">
                  <c:v>24</c:v>
                </c:pt>
                <c:pt idx="2">
                  <c:v>14</c:v>
                </c:pt>
                <c:pt idx="3">
                  <c:v>50</c:v>
                </c:pt>
                <c:pt idx="4">
                  <c:v>105</c:v>
                </c:pt>
                <c:pt idx="5">
                  <c:v>33</c:v>
                </c:pt>
                <c:pt idx="6">
                  <c:v>122</c:v>
                </c:pt>
                <c:pt idx="7">
                  <c:v>207</c:v>
                </c:pt>
                <c:pt idx="8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B-3BD0-4F09-858E-DE6B80560D14}"/>
            </c:ext>
          </c:extLst>
        </c:ser>
        <c:ser>
          <c:idx val="7"/>
          <c:order val="7"/>
          <c:tx>
            <c:strRef>
              <c:f>'Tabelas Dinâmicas'!$J$5:$J$8</c:f>
              <c:strCache>
                <c:ptCount val="1"/>
                <c:pt idx="0">
                  <c:v>ago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Dinâmicas'!$J$9:$J$21</c:f>
              <c:numCache>
                <c:formatCode>_("R$"* #,##0.00_);_("R$"* \(#,##0.00\);_("R$"* "-"??_);_(@_)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19</c:v>
                </c:pt>
                <c:pt idx="3">
                  <c:v>50</c:v>
                </c:pt>
                <c:pt idx="4">
                  <c:v>105</c:v>
                </c:pt>
                <c:pt idx="5">
                  <c:v>33</c:v>
                </c:pt>
                <c:pt idx="6">
                  <c:v>182</c:v>
                </c:pt>
                <c:pt idx="7">
                  <c:v>207</c:v>
                </c:pt>
                <c:pt idx="8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1-3BD0-4F09-858E-DE6B80560D14}"/>
            </c:ext>
          </c:extLst>
        </c:ser>
        <c:ser>
          <c:idx val="8"/>
          <c:order val="8"/>
          <c:tx>
            <c:strRef>
              <c:f>'Tabelas Dinâmicas'!$K$5:$K$8</c:f>
              <c:strCache>
                <c:ptCount val="1"/>
                <c:pt idx="0">
                  <c:v>set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Dinâmicas'!$K$9:$K$21</c:f>
              <c:numCache>
                <c:formatCode>_("R$"* #,##0.00_);_("R$"* \(#,##0.00\);_("R$"* "-"??_);_(@_)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14</c:v>
                </c:pt>
                <c:pt idx="3">
                  <c:v>50</c:v>
                </c:pt>
                <c:pt idx="4">
                  <c:v>105</c:v>
                </c:pt>
                <c:pt idx="5">
                  <c:v>33</c:v>
                </c:pt>
                <c:pt idx="6">
                  <c:v>122</c:v>
                </c:pt>
                <c:pt idx="7">
                  <c:v>207</c:v>
                </c:pt>
                <c:pt idx="8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2-3BD0-4F09-858E-DE6B80560D14}"/>
            </c:ext>
          </c:extLst>
        </c:ser>
        <c:ser>
          <c:idx val="9"/>
          <c:order val="9"/>
          <c:tx>
            <c:strRef>
              <c:f>'Tabelas Dinâmicas'!$L$5:$L$8</c:f>
              <c:strCache>
                <c:ptCount val="1"/>
                <c:pt idx="0">
                  <c:v>out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Dinâmicas'!$L$9:$L$21</c:f>
              <c:numCache>
                <c:formatCode>_("R$"* #,##0.00_);_("R$"* \(#,##0.00\);_("R$"* "-"??_);_(@_)</c:formatCode>
                <c:ptCount val="9"/>
                <c:pt idx="0">
                  <c:v>15</c:v>
                </c:pt>
                <c:pt idx="1">
                  <c:v>19</c:v>
                </c:pt>
                <c:pt idx="2">
                  <c:v>10</c:v>
                </c:pt>
                <c:pt idx="3">
                  <c:v>45</c:v>
                </c:pt>
                <c:pt idx="4">
                  <c:v>100</c:v>
                </c:pt>
                <c:pt idx="5">
                  <c:v>33</c:v>
                </c:pt>
                <c:pt idx="6">
                  <c:v>122</c:v>
                </c:pt>
                <c:pt idx="7">
                  <c:v>314</c:v>
                </c:pt>
                <c:pt idx="8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3-3BD0-4F09-858E-DE6B80560D14}"/>
            </c:ext>
          </c:extLst>
        </c:ser>
        <c:ser>
          <c:idx val="10"/>
          <c:order val="10"/>
          <c:tx>
            <c:strRef>
              <c:f>'Tabelas Dinâmicas'!$M$5:$M$8</c:f>
              <c:strCache>
                <c:ptCount val="1"/>
                <c:pt idx="0">
                  <c:v>nov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Dinâmicas'!$M$9:$M$21</c:f>
              <c:numCache>
                <c:formatCode>_("R$"* #,##0.00_);_("R$"* \(#,##0.00\);_("R$"* "-"??_);_(@_)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14</c:v>
                </c:pt>
                <c:pt idx="3">
                  <c:v>35</c:v>
                </c:pt>
                <c:pt idx="4">
                  <c:v>105</c:v>
                </c:pt>
                <c:pt idx="5">
                  <c:v>48</c:v>
                </c:pt>
                <c:pt idx="6">
                  <c:v>184</c:v>
                </c:pt>
                <c:pt idx="7">
                  <c:v>207</c:v>
                </c:pt>
                <c:pt idx="8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4-3BD0-4F09-858E-DE6B80560D14}"/>
            </c:ext>
          </c:extLst>
        </c:ser>
        <c:ser>
          <c:idx val="11"/>
          <c:order val="11"/>
          <c:tx>
            <c:strRef>
              <c:f>'Tabelas Dinâmicas'!$N$5:$N$8</c:f>
              <c:strCache>
                <c:ptCount val="1"/>
                <c:pt idx="0">
                  <c:v>dez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'Tabelas Dinâmicas'!$B$9:$B$21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'Tabelas Dinâmicas'!$N$9:$N$21</c:f>
              <c:numCache>
                <c:formatCode>_("R$"* #,##0.00_);_("R$"* \(#,##0.00\);_("R$"* "-"??_);_(@_)</c:formatCode>
                <c:ptCount val="9"/>
                <c:pt idx="0">
                  <c:v>5</c:v>
                </c:pt>
                <c:pt idx="1">
                  <c:v>11</c:v>
                </c:pt>
                <c:pt idx="2">
                  <c:v>10</c:v>
                </c:pt>
                <c:pt idx="3">
                  <c:v>30</c:v>
                </c:pt>
                <c:pt idx="4">
                  <c:v>40</c:v>
                </c:pt>
                <c:pt idx="5">
                  <c:v>18</c:v>
                </c:pt>
                <c:pt idx="6">
                  <c:v>60</c:v>
                </c:pt>
                <c:pt idx="7">
                  <c:v>157</c:v>
                </c:pt>
                <c:pt idx="8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6-3BD0-4F09-858E-DE6B80560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masis MT Pro Light" panose="0204030405000502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[base.xlsx]Tabelas Dinâmicas!Valores_TotalPorMes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b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Dinâmicas'!$B$28:$B$40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Dinâmicas'!$C$28:$C$40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C-4E27-9816-F8800BE9B3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11782592"/>
        <c:axId val="1211787872"/>
      </c:barChart>
      <c:catAx>
        <c:axId val="121178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Light" panose="02040304050005020304" pitchFamily="18" charset="0"/>
                <a:ea typeface="+mn-ea"/>
                <a:cs typeface="+mn-cs"/>
              </a:defRPr>
            </a:pPr>
            <a:endParaRPr lang="pt-BR"/>
          </a:p>
        </c:txPr>
        <c:crossAx val="1211787872"/>
        <c:crosses val="autoZero"/>
        <c:auto val="1"/>
        <c:lblAlgn val="ctr"/>
        <c:lblOffset val="100"/>
        <c:noMultiLvlLbl val="0"/>
      </c:catAx>
      <c:valAx>
        <c:axId val="121178787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117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6087</xdr:colOff>
      <xdr:row>4</xdr:row>
      <xdr:rowOff>123826</xdr:rowOff>
    </xdr:from>
    <xdr:to>
      <xdr:col>10</xdr:col>
      <xdr:colOff>252224</xdr:colOff>
      <xdr:row>24</xdr:row>
      <xdr:rowOff>129748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1DE289-7994-42BC-8A27-A96CB5A3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299509</xdr:colOff>
      <xdr:row>4</xdr:row>
      <xdr:rowOff>123826</xdr:rowOff>
    </xdr:from>
    <xdr:to>
      <xdr:col>19</xdr:col>
      <xdr:colOff>419100</xdr:colOff>
      <xdr:row>24</xdr:row>
      <xdr:rowOff>133351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2B92DD-F531-4564-B2FB-1C8FC7A35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220135</xdr:colOff>
      <xdr:row>14</xdr:row>
      <xdr:rowOff>171450</xdr:rowOff>
    </xdr:from>
    <xdr:to>
      <xdr:col>25</xdr:col>
      <xdr:colOff>209550</xdr:colOff>
      <xdr:row>35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eses (Start Date) 1">
              <a:extLst>
                <a:ext uri="{FF2B5EF4-FFF2-40B4-BE49-F238E27FC236}">
                  <a16:creationId xmlns:a16="http://schemas.microsoft.com/office/drawing/2014/main" id="{F1FB6AB8-681D-46EF-9BCC-FABF8B8259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6360" y="3067050"/>
              <a:ext cx="2427815" cy="386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131231</xdr:colOff>
      <xdr:row>5</xdr:row>
      <xdr:rowOff>9526</xdr:rowOff>
    </xdr:from>
    <xdr:to>
      <xdr:col>25</xdr:col>
      <xdr:colOff>438150</xdr:colOff>
      <xdr:row>9</xdr:row>
      <xdr:rowOff>113243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uto Renewal 1">
              <a:extLst>
                <a:ext uri="{FF2B5EF4-FFF2-40B4-BE49-F238E27FC236}">
                  <a16:creationId xmlns:a16="http://schemas.microsoft.com/office/drawing/2014/main" id="{9FFBBCD4-F93A-46C0-A555-3EBCADA8D3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37456" y="1028701"/>
              <a:ext cx="2108201" cy="10276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19051</xdr:colOff>
      <xdr:row>9</xdr:row>
      <xdr:rowOff>128058</xdr:rowOff>
    </xdr:from>
    <xdr:to>
      <xdr:col>23</xdr:col>
      <xdr:colOff>200025</xdr:colOff>
      <xdr:row>14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EA Play Season Pass 1">
              <a:extLst>
                <a:ext uri="{FF2B5EF4-FFF2-40B4-BE49-F238E27FC236}">
                  <a16:creationId xmlns:a16="http://schemas.microsoft.com/office/drawing/2014/main" id="{B834E678-CBA4-4F16-BDDF-C95F4260A9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5676" y="2071158"/>
              <a:ext cx="1701800" cy="967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236007</xdr:colOff>
      <xdr:row>9</xdr:row>
      <xdr:rowOff>132290</xdr:rowOff>
    </xdr:from>
    <xdr:to>
      <xdr:col>27</xdr:col>
      <xdr:colOff>190500</xdr:colOff>
      <xdr:row>14</xdr:row>
      <xdr:rowOff>147107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Minecraft Season Pass 1">
              <a:extLst>
                <a:ext uri="{FF2B5EF4-FFF2-40B4-BE49-F238E27FC236}">
                  <a16:creationId xmlns:a16="http://schemas.microsoft.com/office/drawing/2014/main" id="{42D9C4F1-2CB7-493E-9031-21D9719FD9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61432" y="2075390"/>
              <a:ext cx="2392893" cy="967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236007</xdr:colOff>
      <xdr:row>25</xdr:row>
      <xdr:rowOff>6880</xdr:rowOff>
    </xdr:from>
    <xdr:to>
      <xdr:col>11</xdr:col>
      <xdr:colOff>304799</xdr:colOff>
      <xdr:row>36</xdr:row>
      <xdr:rowOff>180976</xdr:rowOff>
    </xdr:to>
    <xdr:graphicFrame macro="">
      <xdr:nvGraphicFramePr>
        <xdr:cNvPr id="13" name="Gráfico 21">
          <a:extLst>
            <a:ext uri="{FF2B5EF4-FFF2-40B4-BE49-F238E27FC236}">
              <a16:creationId xmlns:a16="http://schemas.microsoft.com/office/drawing/2014/main" id="{5F26E29A-3E62-305E-877F-46FD0EA7F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Souza, Shayenne Cristine (TR Technology)" refreshedDate="46050.902096759259" createdVersion="8" refreshedVersion="8" minRefreshableVersion="3" recordCount="295" xr:uid="{CAB507A9-BBE2-41C2-89DA-EE8DA6DF7874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0265693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x v="0"/>
    <x v="0"/>
    <n v="20"/>
    <n v="5"/>
    <x v="0"/>
  </r>
  <r>
    <n v="3232"/>
    <s v="Maria Oliveira"/>
    <x v="1"/>
    <x v="1"/>
    <x v="1"/>
    <n v="5"/>
    <x v="1"/>
    <x v="1"/>
    <x v="1"/>
    <x v="1"/>
    <n v="0"/>
    <n v="0"/>
    <x v="1"/>
  </r>
  <r>
    <n v="3233"/>
    <s v="Lucas Fernandes"/>
    <x v="2"/>
    <x v="2"/>
    <x v="0"/>
    <n v="10"/>
    <x v="2"/>
    <x v="1"/>
    <x v="1"/>
    <x v="0"/>
    <n v="20"/>
    <n v="10"/>
    <x v="2"/>
  </r>
  <r>
    <n v="3234"/>
    <s v="Ana Souza"/>
    <x v="0"/>
    <x v="3"/>
    <x v="1"/>
    <n v="15"/>
    <x v="0"/>
    <x v="0"/>
    <x v="0"/>
    <x v="0"/>
    <n v="20"/>
    <n v="3"/>
    <x v="3"/>
  </r>
  <r>
    <n v="3235"/>
    <s v="Pedro Gonçalves"/>
    <x v="1"/>
    <x v="4"/>
    <x v="0"/>
    <n v="5"/>
    <x v="0"/>
    <x v="1"/>
    <x v="1"/>
    <x v="1"/>
    <n v="0"/>
    <n v="1"/>
    <x v="4"/>
  </r>
  <r>
    <n v="3236"/>
    <s v="Felipe Costa"/>
    <x v="2"/>
    <x v="5"/>
    <x v="1"/>
    <n v="10"/>
    <x v="0"/>
    <x v="1"/>
    <x v="1"/>
    <x v="0"/>
    <n v="20"/>
    <n v="2"/>
    <x v="5"/>
  </r>
  <r>
    <n v="3237"/>
    <s v="Camila Ribeiro"/>
    <x v="0"/>
    <x v="6"/>
    <x v="0"/>
    <n v="15"/>
    <x v="2"/>
    <x v="0"/>
    <x v="0"/>
    <x v="0"/>
    <n v="20"/>
    <n v="10"/>
    <x v="6"/>
  </r>
  <r>
    <n v="3238"/>
    <s v="André Mendes"/>
    <x v="1"/>
    <x v="7"/>
    <x v="0"/>
    <n v="5"/>
    <x v="1"/>
    <x v="1"/>
    <x v="1"/>
    <x v="1"/>
    <n v="0"/>
    <n v="0"/>
    <x v="1"/>
  </r>
  <r>
    <n v="3239"/>
    <s v="Sofia Almeida"/>
    <x v="0"/>
    <x v="4"/>
    <x v="1"/>
    <n v="15"/>
    <x v="0"/>
    <x v="0"/>
    <x v="0"/>
    <x v="0"/>
    <n v="20"/>
    <n v="5"/>
    <x v="0"/>
  </r>
  <r>
    <n v="3240"/>
    <s v="Bruno Martins"/>
    <x v="2"/>
    <x v="8"/>
    <x v="0"/>
    <n v="10"/>
    <x v="2"/>
    <x v="1"/>
    <x v="1"/>
    <x v="0"/>
    <n v="20"/>
    <n v="15"/>
    <x v="7"/>
  </r>
  <r>
    <n v="3241"/>
    <s v="Rita Castro"/>
    <x v="1"/>
    <x v="9"/>
    <x v="1"/>
    <n v="5"/>
    <x v="0"/>
    <x v="1"/>
    <x v="1"/>
    <x v="1"/>
    <n v="0"/>
    <n v="1"/>
    <x v="4"/>
  </r>
  <r>
    <n v="3242"/>
    <s v="Marco Túlio"/>
    <x v="0"/>
    <x v="10"/>
    <x v="0"/>
    <n v="15"/>
    <x v="1"/>
    <x v="0"/>
    <x v="0"/>
    <x v="0"/>
    <n v="20"/>
    <n v="20"/>
    <x v="8"/>
  </r>
  <r>
    <n v="3243"/>
    <s v="Lívia Silveira"/>
    <x v="2"/>
    <x v="11"/>
    <x v="1"/>
    <n v="10"/>
    <x v="0"/>
    <x v="1"/>
    <x v="1"/>
    <x v="0"/>
    <n v="20"/>
    <n v="10"/>
    <x v="2"/>
  </r>
  <r>
    <n v="3244"/>
    <s v="Diogo Sousa"/>
    <x v="1"/>
    <x v="12"/>
    <x v="0"/>
    <n v="5"/>
    <x v="2"/>
    <x v="1"/>
    <x v="1"/>
    <x v="1"/>
    <n v="0"/>
    <n v="0"/>
    <x v="1"/>
  </r>
  <r>
    <n v="3245"/>
    <s v="Fernanda Lima"/>
    <x v="0"/>
    <x v="13"/>
    <x v="1"/>
    <n v="15"/>
    <x v="0"/>
    <x v="0"/>
    <x v="0"/>
    <x v="0"/>
    <n v="20"/>
    <n v="8"/>
    <x v="9"/>
  </r>
  <r>
    <n v="3246"/>
    <s v="Caio Pereira"/>
    <x v="2"/>
    <x v="14"/>
    <x v="0"/>
    <n v="10"/>
    <x v="1"/>
    <x v="1"/>
    <x v="1"/>
    <x v="0"/>
    <n v="20"/>
    <n v="12"/>
    <x v="10"/>
  </r>
  <r>
    <n v="3247"/>
    <s v="Beatriz Gomes"/>
    <x v="1"/>
    <x v="15"/>
    <x v="1"/>
    <n v="5"/>
    <x v="0"/>
    <x v="1"/>
    <x v="1"/>
    <x v="1"/>
    <n v="0"/>
    <n v="2"/>
    <x v="11"/>
  </r>
  <r>
    <n v="3248"/>
    <s v="Cesar Oliveira"/>
    <x v="0"/>
    <x v="16"/>
    <x v="0"/>
    <n v="15"/>
    <x v="2"/>
    <x v="0"/>
    <x v="0"/>
    <x v="0"/>
    <n v="20"/>
    <n v="7"/>
    <x v="12"/>
  </r>
  <r>
    <n v="3249"/>
    <s v="Débora Machado"/>
    <x v="2"/>
    <x v="17"/>
    <x v="1"/>
    <n v="10"/>
    <x v="0"/>
    <x v="1"/>
    <x v="1"/>
    <x v="0"/>
    <n v="20"/>
    <n v="5"/>
    <x v="13"/>
  </r>
  <r>
    <n v="3250"/>
    <s v="Eduardo Vargas"/>
    <x v="1"/>
    <x v="18"/>
    <x v="0"/>
    <n v="5"/>
    <x v="1"/>
    <x v="1"/>
    <x v="1"/>
    <x v="1"/>
    <n v="0"/>
    <n v="0"/>
    <x v="1"/>
  </r>
  <r>
    <n v="3251"/>
    <s v="Gabriela Santos"/>
    <x v="0"/>
    <x v="19"/>
    <x v="1"/>
    <n v="15"/>
    <x v="0"/>
    <x v="0"/>
    <x v="0"/>
    <x v="0"/>
    <n v="20"/>
    <n v="3"/>
    <x v="3"/>
  </r>
  <r>
    <n v="3252"/>
    <s v="Henrique Dias"/>
    <x v="2"/>
    <x v="20"/>
    <x v="0"/>
    <n v="10"/>
    <x v="2"/>
    <x v="1"/>
    <x v="1"/>
    <x v="0"/>
    <n v="20"/>
    <n v="15"/>
    <x v="7"/>
  </r>
  <r>
    <n v="3253"/>
    <s v="Isabela Moreira"/>
    <x v="1"/>
    <x v="21"/>
    <x v="1"/>
    <n v="5"/>
    <x v="0"/>
    <x v="1"/>
    <x v="1"/>
    <x v="1"/>
    <n v="0"/>
    <n v="1"/>
    <x v="4"/>
  </r>
  <r>
    <n v="3254"/>
    <s v="Joaquim Barbosa"/>
    <x v="0"/>
    <x v="22"/>
    <x v="0"/>
    <n v="15"/>
    <x v="1"/>
    <x v="0"/>
    <x v="0"/>
    <x v="0"/>
    <n v="20"/>
    <n v="20"/>
    <x v="8"/>
  </r>
  <r>
    <n v="3255"/>
    <s v="Lara Rocha"/>
    <x v="2"/>
    <x v="23"/>
    <x v="1"/>
    <n v="10"/>
    <x v="0"/>
    <x v="1"/>
    <x v="1"/>
    <x v="0"/>
    <n v="20"/>
    <n v="10"/>
    <x v="2"/>
  </r>
  <r>
    <n v="3256"/>
    <s v="Matheus Silva"/>
    <x v="1"/>
    <x v="24"/>
    <x v="0"/>
    <n v="5"/>
    <x v="2"/>
    <x v="1"/>
    <x v="1"/>
    <x v="1"/>
    <n v="0"/>
    <n v="0"/>
    <x v="1"/>
  </r>
  <r>
    <n v="3257"/>
    <s v="Nicole Costa"/>
    <x v="0"/>
    <x v="25"/>
    <x v="1"/>
    <n v="15"/>
    <x v="0"/>
    <x v="0"/>
    <x v="0"/>
    <x v="0"/>
    <n v="20"/>
    <n v="5"/>
    <x v="0"/>
  </r>
  <r>
    <n v="3258"/>
    <s v="Otávio Mendonça"/>
    <x v="2"/>
    <x v="26"/>
    <x v="0"/>
    <n v="10"/>
    <x v="1"/>
    <x v="1"/>
    <x v="1"/>
    <x v="0"/>
    <n v="20"/>
    <n v="15"/>
    <x v="7"/>
  </r>
  <r>
    <n v="3259"/>
    <s v="Paula Ferreira"/>
    <x v="1"/>
    <x v="27"/>
    <x v="1"/>
    <n v="5"/>
    <x v="0"/>
    <x v="1"/>
    <x v="1"/>
    <x v="1"/>
    <n v="0"/>
    <n v="1"/>
    <x v="4"/>
  </r>
  <r>
    <n v="3260"/>
    <s v="Raquel Alves"/>
    <x v="0"/>
    <x v="28"/>
    <x v="0"/>
    <n v="15"/>
    <x v="2"/>
    <x v="0"/>
    <x v="0"/>
    <x v="0"/>
    <n v="20"/>
    <n v="7"/>
    <x v="12"/>
  </r>
  <r>
    <n v="3261"/>
    <s v="Samuel Pires"/>
    <x v="2"/>
    <x v="29"/>
    <x v="1"/>
    <n v="10"/>
    <x v="0"/>
    <x v="1"/>
    <x v="1"/>
    <x v="0"/>
    <n v="20"/>
    <n v="10"/>
    <x v="2"/>
  </r>
  <r>
    <n v="3262"/>
    <s v="Tânia Barros"/>
    <x v="1"/>
    <x v="30"/>
    <x v="0"/>
    <n v="5"/>
    <x v="1"/>
    <x v="1"/>
    <x v="1"/>
    <x v="1"/>
    <n v="0"/>
    <n v="0"/>
    <x v="1"/>
  </r>
  <r>
    <n v="3263"/>
    <s v="Vinicius Lima"/>
    <x v="0"/>
    <x v="31"/>
    <x v="1"/>
    <n v="15"/>
    <x v="0"/>
    <x v="0"/>
    <x v="0"/>
    <x v="0"/>
    <n v="20"/>
    <n v="3"/>
    <x v="3"/>
  </r>
  <r>
    <n v="3264"/>
    <s v="Yasmin Teixeira"/>
    <x v="2"/>
    <x v="32"/>
    <x v="0"/>
    <n v="10"/>
    <x v="2"/>
    <x v="1"/>
    <x v="1"/>
    <x v="0"/>
    <n v="20"/>
    <n v="15"/>
    <x v="7"/>
  </r>
  <r>
    <n v="3265"/>
    <s v="Zé Carlos"/>
    <x v="1"/>
    <x v="33"/>
    <x v="1"/>
    <n v="5"/>
    <x v="0"/>
    <x v="1"/>
    <x v="1"/>
    <x v="1"/>
    <n v="0"/>
    <n v="1"/>
    <x v="4"/>
  </r>
  <r>
    <n v="3266"/>
    <s v="Amanda Nogueira"/>
    <x v="1"/>
    <x v="34"/>
    <x v="0"/>
    <n v="5"/>
    <x v="0"/>
    <x v="1"/>
    <x v="1"/>
    <x v="1"/>
    <n v="0"/>
    <n v="0"/>
    <x v="1"/>
  </r>
  <r>
    <n v="3267"/>
    <s v="Bruno Cavalheiro"/>
    <x v="0"/>
    <x v="35"/>
    <x v="1"/>
    <n v="15"/>
    <x v="2"/>
    <x v="0"/>
    <x v="0"/>
    <x v="0"/>
    <n v="20"/>
    <n v="7"/>
    <x v="12"/>
  </r>
  <r>
    <n v="3268"/>
    <s v="Carla Dias"/>
    <x v="2"/>
    <x v="36"/>
    <x v="0"/>
    <n v="10"/>
    <x v="1"/>
    <x v="1"/>
    <x v="1"/>
    <x v="0"/>
    <n v="20"/>
    <n v="10"/>
    <x v="2"/>
  </r>
  <r>
    <n v="3269"/>
    <s v="Diego Fontes"/>
    <x v="1"/>
    <x v="37"/>
    <x v="1"/>
    <n v="5"/>
    <x v="2"/>
    <x v="1"/>
    <x v="1"/>
    <x v="1"/>
    <n v="0"/>
    <n v="1"/>
    <x v="4"/>
  </r>
  <r>
    <n v="3270"/>
    <s v="Eunice Lima"/>
    <x v="0"/>
    <x v="38"/>
    <x v="0"/>
    <n v="15"/>
    <x v="0"/>
    <x v="0"/>
    <x v="0"/>
    <x v="0"/>
    <n v="20"/>
    <n v="15"/>
    <x v="14"/>
  </r>
  <r>
    <n v="3271"/>
    <s v="Fábio Martins"/>
    <x v="2"/>
    <x v="39"/>
    <x v="1"/>
    <n v="10"/>
    <x v="0"/>
    <x v="1"/>
    <x v="1"/>
    <x v="0"/>
    <n v="20"/>
    <n v="5"/>
    <x v="13"/>
  </r>
  <r>
    <n v="3272"/>
    <s v="Gisele Araújo"/>
    <x v="1"/>
    <x v="40"/>
    <x v="0"/>
    <n v="5"/>
    <x v="1"/>
    <x v="1"/>
    <x v="1"/>
    <x v="1"/>
    <n v="0"/>
    <n v="0"/>
    <x v="1"/>
  </r>
  <r>
    <n v="3273"/>
    <s v="Hélio Castro"/>
    <x v="0"/>
    <x v="41"/>
    <x v="1"/>
    <n v="15"/>
    <x v="2"/>
    <x v="0"/>
    <x v="0"/>
    <x v="0"/>
    <n v="20"/>
    <n v="20"/>
    <x v="8"/>
  </r>
  <r>
    <n v="3274"/>
    <s v="Ingrid Menezes"/>
    <x v="2"/>
    <x v="42"/>
    <x v="0"/>
    <n v="10"/>
    <x v="2"/>
    <x v="1"/>
    <x v="1"/>
    <x v="0"/>
    <n v="20"/>
    <n v="12"/>
    <x v="10"/>
  </r>
  <r>
    <n v="3275"/>
    <s v="Jorge Baptista"/>
    <x v="1"/>
    <x v="43"/>
    <x v="1"/>
    <n v="5"/>
    <x v="0"/>
    <x v="1"/>
    <x v="1"/>
    <x v="1"/>
    <n v="0"/>
    <n v="2"/>
    <x v="11"/>
  </r>
  <r>
    <n v="3276"/>
    <s v="Kléber Oliveira"/>
    <x v="0"/>
    <x v="44"/>
    <x v="0"/>
    <n v="15"/>
    <x v="1"/>
    <x v="0"/>
    <x v="0"/>
    <x v="0"/>
    <n v="20"/>
    <n v="5"/>
    <x v="0"/>
  </r>
  <r>
    <n v="3277"/>
    <s v="Luciana Freitas"/>
    <x v="2"/>
    <x v="45"/>
    <x v="1"/>
    <n v="10"/>
    <x v="0"/>
    <x v="1"/>
    <x v="1"/>
    <x v="0"/>
    <n v="20"/>
    <n v="10"/>
    <x v="2"/>
  </r>
  <r>
    <n v="3278"/>
    <s v="Márcia Eller"/>
    <x v="1"/>
    <x v="46"/>
    <x v="0"/>
    <n v="5"/>
    <x v="2"/>
    <x v="1"/>
    <x v="1"/>
    <x v="1"/>
    <n v="0"/>
    <n v="0"/>
    <x v="1"/>
  </r>
  <r>
    <n v="3279"/>
    <s v="Nilo Peçanha"/>
    <x v="0"/>
    <x v="47"/>
    <x v="1"/>
    <n v="15"/>
    <x v="0"/>
    <x v="0"/>
    <x v="0"/>
    <x v="0"/>
    <n v="20"/>
    <n v="3"/>
    <x v="3"/>
  </r>
  <r>
    <n v="3280"/>
    <s v="Oscar Neves"/>
    <x v="2"/>
    <x v="48"/>
    <x v="0"/>
    <n v="10"/>
    <x v="1"/>
    <x v="1"/>
    <x v="1"/>
    <x v="0"/>
    <n v="20"/>
    <n v="15"/>
    <x v="7"/>
  </r>
  <r>
    <n v="3281"/>
    <s v="Patrícia Soares"/>
    <x v="1"/>
    <x v="49"/>
    <x v="1"/>
    <n v="5"/>
    <x v="0"/>
    <x v="1"/>
    <x v="1"/>
    <x v="1"/>
    <n v="0"/>
    <n v="1"/>
    <x v="4"/>
  </r>
  <r>
    <n v="3282"/>
    <s v="Quirino Gonçalves"/>
    <x v="0"/>
    <x v="50"/>
    <x v="0"/>
    <n v="15"/>
    <x v="2"/>
    <x v="0"/>
    <x v="0"/>
    <x v="0"/>
    <n v="20"/>
    <n v="7"/>
    <x v="12"/>
  </r>
  <r>
    <n v="3283"/>
    <s v="Raul Machado"/>
    <x v="2"/>
    <x v="51"/>
    <x v="1"/>
    <n v="10"/>
    <x v="0"/>
    <x v="1"/>
    <x v="1"/>
    <x v="0"/>
    <n v="20"/>
    <n v="10"/>
    <x v="2"/>
  </r>
  <r>
    <n v="3284"/>
    <s v="Sônia Lobo"/>
    <x v="1"/>
    <x v="52"/>
    <x v="0"/>
    <n v="5"/>
    <x v="1"/>
    <x v="1"/>
    <x v="1"/>
    <x v="1"/>
    <n v="0"/>
    <n v="0"/>
    <x v="1"/>
  </r>
  <r>
    <n v="3285"/>
    <s v="Tiago Ramos"/>
    <x v="0"/>
    <x v="53"/>
    <x v="1"/>
    <n v="15"/>
    <x v="0"/>
    <x v="0"/>
    <x v="0"/>
    <x v="0"/>
    <n v="20"/>
    <n v="20"/>
    <x v="8"/>
  </r>
  <r>
    <n v="3286"/>
    <s v="Ugo Pires"/>
    <x v="2"/>
    <x v="54"/>
    <x v="0"/>
    <n v="10"/>
    <x v="2"/>
    <x v="1"/>
    <x v="1"/>
    <x v="0"/>
    <n v="20"/>
    <n v="15"/>
    <x v="7"/>
  </r>
  <r>
    <n v="3287"/>
    <s v="Valéria Nobre"/>
    <x v="1"/>
    <x v="55"/>
    <x v="1"/>
    <n v="5"/>
    <x v="0"/>
    <x v="1"/>
    <x v="1"/>
    <x v="1"/>
    <n v="0"/>
    <n v="1"/>
    <x v="4"/>
  </r>
  <r>
    <n v="3288"/>
    <s v="William Siqueira"/>
    <x v="0"/>
    <x v="56"/>
    <x v="0"/>
    <n v="15"/>
    <x v="1"/>
    <x v="0"/>
    <x v="0"/>
    <x v="0"/>
    <n v="20"/>
    <n v="3"/>
    <x v="3"/>
  </r>
  <r>
    <n v="3289"/>
    <s v="Xuxa Meneghel"/>
    <x v="2"/>
    <x v="57"/>
    <x v="1"/>
    <n v="10"/>
    <x v="0"/>
    <x v="1"/>
    <x v="1"/>
    <x v="0"/>
    <n v="20"/>
    <n v="10"/>
    <x v="2"/>
  </r>
  <r>
    <n v="3290"/>
    <s v="Yara Figueiredo"/>
    <x v="1"/>
    <x v="58"/>
    <x v="0"/>
    <n v="5"/>
    <x v="2"/>
    <x v="1"/>
    <x v="1"/>
    <x v="1"/>
    <n v="0"/>
    <n v="0"/>
    <x v="1"/>
  </r>
  <r>
    <n v="3291"/>
    <s v="Zacarias Alves"/>
    <x v="0"/>
    <x v="59"/>
    <x v="1"/>
    <n v="15"/>
    <x v="0"/>
    <x v="0"/>
    <x v="0"/>
    <x v="0"/>
    <n v="20"/>
    <n v="5"/>
    <x v="0"/>
  </r>
  <r>
    <n v="3292"/>
    <s v="Amanda Bynes"/>
    <x v="2"/>
    <x v="60"/>
    <x v="0"/>
    <n v="10"/>
    <x v="1"/>
    <x v="1"/>
    <x v="1"/>
    <x v="0"/>
    <n v="20"/>
    <n v="15"/>
    <x v="7"/>
  </r>
  <r>
    <n v="3293"/>
    <s v="Bruno Mars"/>
    <x v="1"/>
    <x v="61"/>
    <x v="1"/>
    <n v="5"/>
    <x v="0"/>
    <x v="1"/>
    <x v="1"/>
    <x v="1"/>
    <n v="0"/>
    <n v="1"/>
    <x v="4"/>
  </r>
  <r>
    <n v="3294"/>
    <s v="Carla Bruni"/>
    <x v="0"/>
    <x v="62"/>
    <x v="0"/>
    <n v="15"/>
    <x v="2"/>
    <x v="0"/>
    <x v="0"/>
    <x v="0"/>
    <n v="20"/>
    <n v="20"/>
    <x v="8"/>
  </r>
  <r>
    <n v="3295"/>
    <s v="Diego Maradona"/>
    <x v="2"/>
    <x v="63"/>
    <x v="1"/>
    <n v="10"/>
    <x v="0"/>
    <x v="1"/>
    <x v="1"/>
    <x v="0"/>
    <n v="20"/>
    <n v="5"/>
    <x v="13"/>
  </r>
  <r>
    <n v="3296"/>
    <s v="Estela Marques"/>
    <x v="1"/>
    <x v="64"/>
    <x v="1"/>
    <n v="5"/>
    <x v="0"/>
    <x v="1"/>
    <x v="1"/>
    <x v="1"/>
    <n v="0"/>
    <n v="0"/>
    <x v="1"/>
  </r>
  <r>
    <n v="3297"/>
    <s v="Fábio Nobre"/>
    <x v="0"/>
    <x v="65"/>
    <x v="0"/>
    <n v="15"/>
    <x v="2"/>
    <x v="0"/>
    <x v="0"/>
    <x v="0"/>
    <n v="20"/>
    <n v="7"/>
    <x v="12"/>
  </r>
  <r>
    <n v="3298"/>
    <s v="Gabriel Oliveira"/>
    <x v="2"/>
    <x v="66"/>
    <x v="1"/>
    <n v="10"/>
    <x v="1"/>
    <x v="1"/>
    <x v="1"/>
    <x v="0"/>
    <n v="20"/>
    <n v="10"/>
    <x v="2"/>
  </r>
  <r>
    <n v="3299"/>
    <s v="Helena Santos"/>
    <x v="1"/>
    <x v="67"/>
    <x v="0"/>
    <n v="5"/>
    <x v="2"/>
    <x v="1"/>
    <x v="1"/>
    <x v="1"/>
    <n v="0"/>
    <n v="1"/>
    <x v="4"/>
  </r>
  <r>
    <n v="3300"/>
    <s v="Ivan Carvalho"/>
    <x v="0"/>
    <x v="68"/>
    <x v="1"/>
    <n v="15"/>
    <x v="0"/>
    <x v="0"/>
    <x v="0"/>
    <x v="0"/>
    <n v="20"/>
    <n v="15"/>
    <x v="14"/>
  </r>
  <r>
    <n v="3301"/>
    <s v="Júlia Ferreira"/>
    <x v="2"/>
    <x v="69"/>
    <x v="0"/>
    <n v="10"/>
    <x v="0"/>
    <x v="1"/>
    <x v="1"/>
    <x v="0"/>
    <n v="20"/>
    <n v="5"/>
    <x v="13"/>
  </r>
  <r>
    <n v="3302"/>
    <s v="Karla Alves"/>
    <x v="1"/>
    <x v="70"/>
    <x v="1"/>
    <n v="5"/>
    <x v="1"/>
    <x v="1"/>
    <x v="1"/>
    <x v="1"/>
    <n v="0"/>
    <n v="0"/>
    <x v="1"/>
  </r>
  <r>
    <n v="3303"/>
    <s v="Lucas Mendes"/>
    <x v="0"/>
    <x v="71"/>
    <x v="0"/>
    <n v="15"/>
    <x v="2"/>
    <x v="0"/>
    <x v="0"/>
    <x v="0"/>
    <n v="20"/>
    <n v="20"/>
    <x v="8"/>
  </r>
  <r>
    <n v="3304"/>
    <s v="Mônica Gomes"/>
    <x v="2"/>
    <x v="72"/>
    <x v="1"/>
    <n v="10"/>
    <x v="2"/>
    <x v="1"/>
    <x v="1"/>
    <x v="0"/>
    <n v="20"/>
    <n v="12"/>
    <x v="10"/>
  </r>
  <r>
    <n v="3305"/>
    <s v="Norberto Queiroz"/>
    <x v="1"/>
    <x v="73"/>
    <x v="0"/>
    <n v="5"/>
    <x v="0"/>
    <x v="1"/>
    <x v="1"/>
    <x v="1"/>
    <n v="0"/>
    <n v="2"/>
    <x v="11"/>
  </r>
  <r>
    <n v="3306"/>
    <s v="Otávio Barros"/>
    <x v="0"/>
    <x v="74"/>
    <x v="1"/>
    <n v="15"/>
    <x v="1"/>
    <x v="0"/>
    <x v="0"/>
    <x v="0"/>
    <n v="20"/>
    <n v="5"/>
    <x v="0"/>
  </r>
  <r>
    <n v="3307"/>
    <s v="Paula Vieira"/>
    <x v="2"/>
    <x v="75"/>
    <x v="0"/>
    <n v="10"/>
    <x v="0"/>
    <x v="1"/>
    <x v="1"/>
    <x v="0"/>
    <n v="20"/>
    <n v="10"/>
    <x v="2"/>
  </r>
  <r>
    <n v="3308"/>
    <s v="Quentin Ramos"/>
    <x v="1"/>
    <x v="76"/>
    <x v="1"/>
    <n v="5"/>
    <x v="2"/>
    <x v="1"/>
    <x v="1"/>
    <x v="1"/>
    <n v="0"/>
    <n v="0"/>
    <x v="1"/>
  </r>
  <r>
    <n v="3309"/>
    <s v="Raquel Novaes"/>
    <x v="0"/>
    <x v="77"/>
    <x v="0"/>
    <n v="15"/>
    <x v="0"/>
    <x v="0"/>
    <x v="0"/>
    <x v="0"/>
    <n v="20"/>
    <n v="3"/>
    <x v="3"/>
  </r>
  <r>
    <n v="3310"/>
    <s v="Samantha Lopes"/>
    <x v="2"/>
    <x v="78"/>
    <x v="1"/>
    <n v="10"/>
    <x v="1"/>
    <x v="1"/>
    <x v="1"/>
    <x v="0"/>
    <n v="20"/>
    <n v="15"/>
    <x v="7"/>
  </r>
  <r>
    <n v="3311"/>
    <s v="Tiago Martins"/>
    <x v="1"/>
    <x v="79"/>
    <x v="0"/>
    <n v="5"/>
    <x v="0"/>
    <x v="1"/>
    <x v="1"/>
    <x v="1"/>
    <n v="0"/>
    <n v="1"/>
    <x v="4"/>
  </r>
  <r>
    <n v="3312"/>
    <s v="Ulysses Guimarães"/>
    <x v="0"/>
    <x v="80"/>
    <x v="1"/>
    <n v="15"/>
    <x v="2"/>
    <x v="0"/>
    <x v="0"/>
    <x v="0"/>
    <n v="20"/>
    <n v="7"/>
    <x v="12"/>
  </r>
  <r>
    <n v="3313"/>
    <s v="Vanessa Silva"/>
    <x v="2"/>
    <x v="81"/>
    <x v="0"/>
    <n v="10"/>
    <x v="0"/>
    <x v="1"/>
    <x v="1"/>
    <x v="0"/>
    <n v="20"/>
    <n v="10"/>
    <x v="2"/>
  </r>
  <r>
    <n v="3314"/>
    <s v="William Carneiro"/>
    <x v="1"/>
    <x v="82"/>
    <x v="1"/>
    <n v="5"/>
    <x v="1"/>
    <x v="1"/>
    <x v="1"/>
    <x v="1"/>
    <n v="0"/>
    <n v="0"/>
    <x v="1"/>
  </r>
  <r>
    <n v="3315"/>
    <s v="Ximena Rocha"/>
    <x v="0"/>
    <x v="83"/>
    <x v="0"/>
    <n v="15"/>
    <x v="0"/>
    <x v="0"/>
    <x v="0"/>
    <x v="0"/>
    <n v="20"/>
    <n v="20"/>
    <x v="8"/>
  </r>
  <r>
    <n v="3316"/>
    <s v="Yasmin Figueiredo"/>
    <x v="2"/>
    <x v="84"/>
    <x v="1"/>
    <n v="10"/>
    <x v="2"/>
    <x v="1"/>
    <x v="1"/>
    <x v="0"/>
    <n v="20"/>
    <n v="15"/>
    <x v="7"/>
  </r>
  <r>
    <n v="3317"/>
    <s v="Zara Cunha"/>
    <x v="1"/>
    <x v="85"/>
    <x v="0"/>
    <n v="5"/>
    <x v="0"/>
    <x v="1"/>
    <x v="1"/>
    <x v="1"/>
    <n v="0"/>
    <n v="1"/>
    <x v="4"/>
  </r>
  <r>
    <n v="3318"/>
    <s v="Alan Teixeira"/>
    <x v="0"/>
    <x v="86"/>
    <x v="1"/>
    <n v="15"/>
    <x v="1"/>
    <x v="0"/>
    <x v="0"/>
    <x v="0"/>
    <n v="20"/>
    <n v="3"/>
    <x v="3"/>
  </r>
  <r>
    <n v="3319"/>
    <s v="Bárbara Oliveira"/>
    <x v="2"/>
    <x v="87"/>
    <x v="0"/>
    <n v="10"/>
    <x v="0"/>
    <x v="1"/>
    <x v="1"/>
    <x v="0"/>
    <n v="20"/>
    <n v="10"/>
    <x v="2"/>
  </r>
  <r>
    <n v="3320"/>
    <s v="Carlos Junqueira"/>
    <x v="1"/>
    <x v="88"/>
    <x v="1"/>
    <n v="5"/>
    <x v="2"/>
    <x v="1"/>
    <x v="1"/>
    <x v="1"/>
    <n v="0"/>
    <n v="0"/>
    <x v="1"/>
  </r>
  <r>
    <n v="3321"/>
    <s v="Daniela Moura"/>
    <x v="0"/>
    <x v="89"/>
    <x v="0"/>
    <n v="15"/>
    <x v="0"/>
    <x v="0"/>
    <x v="0"/>
    <x v="0"/>
    <n v="20"/>
    <n v="5"/>
    <x v="0"/>
  </r>
  <r>
    <n v="3322"/>
    <s v="Eduardo Lima"/>
    <x v="2"/>
    <x v="90"/>
    <x v="1"/>
    <n v="10"/>
    <x v="1"/>
    <x v="1"/>
    <x v="1"/>
    <x v="0"/>
    <n v="20"/>
    <n v="15"/>
    <x v="7"/>
  </r>
  <r>
    <n v="3323"/>
    <s v="Fabiana Araújo"/>
    <x v="1"/>
    <x v="91"/>
    <x v="0"/>
    <n v="5"/>
    <x v="0"/>
    <x v="1"/>
    <x v="1"/>
    <x v="1"/>
    <n v="0"/>
    <n v="1"/>
    <x v="4"/>
  </r>
  <r>
    <n v="3324"/>
    <s v="Geraldo Ribeiro"/>
    <x v="0"/>
    <x v="92"/>
    <x v="1"/>
    <n v="15"/>
    <x v="2"/>
    <x v="0"/>
    <x v="0"/>
    <x v="0"/>
    <n v="20"/>
    <n v="20"/>
    <x v="8"/>
  </r>
  <r>
    <n v="3325"/>
    <s v="Héctor Vargas"/>
    <x v="2"/>
    <x v="93"/>
    <x v="0"/>
    <n v="10"/>
    <x v="2"/>
    <x v="1"/>
    <x v="1"/>
    <x v="0"/>
    <n v="20"/>
    <n v="15"/>
    <x v="7"/>
  </r>
  <r>
    <n v="3326"/>
    <s v="Isabela Fonseca"/>
    <x v="1"/>
    <x v="94"/>
    <x v="1"/>
    <n v="5"/>
    <x v="1"/>
    <x v="1"/>
    <x v="1"/>
    <x v="1"/>
    <n v="0"/>
    <n v="0"/>
    <x v="1"/>
  </r>
  <r>
    <n v="3327"/>
    <s v="João Pedro Almeida"/>
    <x v="0"/>
    <x v="95"/>
    <x v="0"/>
    <n v="15"/>
    <x v="0"/>
    <x v="0"/>
    <x v="0"/>
    <x v="0"/>
    <n v="20"/>
    <n v="7"/>
    <x v="12"/>
  </r>
  <r>
    <n v="3328"/>
    <s v="Klara Costa"/>
    <x v="2"/>
    <x v="96"/>
    <x v="1"/>
    <n v="10"/>
    <x v="1"/>
    <x v="1"/>
    <x v="1"/>
    <x v="0"/>
    <n v="20"/>
    <n v="10"/>
    <x v="2"/>
  </r>
  <r>
    <n v="3329"/>
    <s v="Luciana Mendes"/>
    <x v="1"/>
    <x v="97"/>
    <x v="0"/>
    <n v="5"/>
    <x v="2"/>
    <x v="1"/>
    <x v="1"/>
    <x v="1"/>
    <n v="0"/>
    <n v="1"/>
    <x v="4"/>
  </r>
  <r>
    <n v="3330"/>
    <s v="Marcelo Gouveia"/>
    <x v="0"/>
    <x v="98"/>
    <x v="1"/>
    <n v="15"/>
    <x v="0"/>
    <x v="0"/>
    <x v="0"/>
    <x v="0"/>
    <n v="20"/>
    <n v="15"/>
    <x v="14"/>
  </r>
  <r>
    <n v="3331"/>
    <s v="Nívea Borges"/>
    <x v="2"/>
    <x v="99"/>
    <x v="0"/>
    <n v="10"/>
    <x v="0"/>
    <x v="1"/>
    <x v="1"/>
    <x v="0"/>
    <n v="20"/>
    <n v="5"/>
    <x v="13"/>
  </r>
  <r>
    <n v="3332"/>
    <s v="Oscar Nogueira"/>
    <x v="1"/>
    <x v="100"/>
    <x v="1"/>
    <n v="5"/>
    <x v="1"/>
    <x v="1"/>
    <x v="1"/>
    <x v="1"/>
    <n v="0"/>
    <n v="0"/>
    <x v="1"/>
  </r>
  <r>
    <n v="3333"/>
    <s v="Patrícia Alves"/>
    <x v="0"/>
    <x v="101"/>
    <x v="0"/>
    <n v="15"/>
    <x v="2"/>
    <x v="0"/>
    <x v="0"/>
    <x v="0"/>
    <n v="20"/>
    <n v="20"/>
    <x v="8"/>
  </r>
  <r>
    <n v="3334"/>
    <s v="Rafaela Silva"/>
    <x v="2"/>
    <x v="102"/>
    <x v="1"/>
    <n v="10"/>
    <x v="2"/>
    <x v="1"/>
    <x v="1"/>
    <x v="0"/>
    <n v="20"/>
    <n v="12"/>
    <x v="10"/>
  </r>
  <r>
    <n v="3335"/>
    <s v="Samantha Moraes"/>
    <x v="1"/>
    <x v="103"/>
    <x v="0"/>
    <n v="5"/>
    <x v="0"/>
    <x v="1"/>
    <x v="1"/>
    <x v="1"/>
    <n v="0"/>
    <n v="2"/>
    <x v="11"/>
  </r>
  <r>
    <n v="3336"/>
    <s v="Tatiana Rocha"/>
    <x v="1"/>
    <x v="104"/>
    <x v="0"/>
    <n v="5"/>
    <x v="0"/>
    <x v="1"/>
    <x v="1"/>
    <x v="1"/>
    <n v="0"/>
    <n v="0"/>
    <x v="1"/>
  </r>
  <r>
    <n v="3337"/>
    <s v="Ulisses Tavares"/>
    <x v="0"/>
    <x v="105"/>
    <x v="1"/>
    <n v="15"/>
    <x v="2"/>
    <x v="0"/>
    <x v="0"/>
    <x v="0"/>
    <n v="20"/>
    <n v="7"/>
    <x v="12"/>
  </r>
  <r>
    <n v="3338"/>
    <s v="Víctor Lemos"/>
    <x v="2"/>
    <x v="106"/>
    <x v="0"/>
    <n v="10"/>
    <x v="1"/>
    <x v="1"/>
    <x v="1"/>
    <x v="0"/>
    <n v="20"/>
    <n v="10"/>
    <x v="2"/>
  </r>
  <r>
    <n v="3339"/>
    <s v="Wilma Barros"/>
    <x v="1"/>
    <x v="107"/>
    <x v="1"/>
    <n v="5"/>
    <x v="2"/>
    <x v="1"/>
    <x v="1"/>
    <x v="1"/>
    <n v="0"/>
    <n v="1"/>
    <x v="4"/>
  </r>
  <r>
    <n v="3340"/>
    <s v="Xavier Nascimento"/>
    <x v="0"/>
    <x v="108"/>
    <x v="0"/>
    <n v="15"/>
    <x v="0"/>
    <x v="0"/>
    <x v="0"/>
    <x v="0"/>
    <n v="20"/>
    <n v="15"/>
    <x v="14"/>
  </r>
  <r>
    <n v="3341"/>
    <s v="Yago Pereira"/>
    <x v="2"/>
    <x v="109"/>
    <x v="1"/>
    <n v="10"/>
    <x v="0"/>
    <x v="1"/>
    <x v="1"/>
    <x v="0"/>
    <n v="20"/>
    <n v="5"/>
    <x v="13"/>
  </r>
  <r>
    <n v="3342"/>
    <s v="Zilda Ferreira"/>
    <x v="1"/>
    <x v="110"/>
    <x v="0"/>
    <n v="5"/>
    <x v="1"/>
    <x v="1"/>
    <x v="1"/>
    <x v="1"/>
    <n v="0"/>
    <n v="0"/>
    <x v="1"/>
  </r>
  <r>
    <n v="3343"/>
    <s v="Amanda Lopes"/>
    <x v="0"/>
    <x v="111"/>
    <x v="1"/>
    <n v="15"/>
    <x v="2"/>
    <x v="0"/>
    <x v="0"/>
    <x v="0"/>
    <n v="20"/>
    <n v="20"/>
    <x v="8"/>
  </r>
  <r>
    <n v="3344"/>
    <s v="Bruno Miranda"/>
    <x v="2"/>
    <x v="112"/>
    <x v="0"/>
    <n v="10"/>
    <x v="2"/>
    <x v="1"/>
    <x v="1"/>
    <x v="0"/>
    <n v="20"/>
    <n v="12"/>
    <x v="10"/>
  </r>
  <r>
    <n v="3345"/>
    <s v="Célia Torres"/>
    <x v="1"/>
    <x v="113"/>
    <x v="1"/>
    <n v="5"/>
    <x v="0"/>
    <x v="1"/>
    <x v="1"/>
    <x v="1"/>
    <n v="0"/>
    <n v="2"/>
    <x v="11"/>
  </r>
  <r>
    <n v="3346"/>
    <s v="Diogo Souza"/>
    <x v="0"/>
    <x v="114"/>
    <x v="0"/>
    <n v="15"/>
    <x v="1"/>
    <x v="0"/>
    <x v="0"/>
    <x v="0"/>
    <n v="20"/>
    <n v="5"/>
    <x v="0"/>
  </r>
  <r>
    <n v="3347"/>
    <s v="Elisa Castro"/>
    <x v="2"/>
    <x v="115"/>
    <x v="1"/>
    <n v="10"/>
    <x v="0"/>
    <x v="1"/>
    <x v="1"/>
    <x v="0"/>
    <n v="20"/>
    <n v="10"/>
    <x v="2"/>
  </r>
  <r>
    <n v="3348"/>
    <s v="Fátima Lima"/>
    <x v="1"/>
    <x v="116"/>
    <x v="0"/>
    <n v="5"/>
    <x v="2"/>
    <x v="1"/>
    <x v="1"/>
    <x v="1"/>
    <n v="0"/>
    <n v="0"/>
    <x v="1"/>
  </r>
  <r>
    <n v="3349"/>
    <s v="Geraldo Ribeiro"/>
    <x v="0"/>
    <x v="117"/>
    <x v="1"/>
    <n v="15"/>
    <x v="0"/>
    <x v="0"/>
    <x v="0"/>
    <x v="0"/>
    <n v="20"/>
    <n v="3"/>
    <x v="3"/>
  </r>
  <r>
    <n v="3350"/>
    <s v="Hélio Martins"/>
    <x v="2"/>
    <x v="118"/>
    <x v="0"/>
    <n v="10"/>
    <x v="1"/>
    <x v="1"/>
    <x v="1"/>
    <x v="0"/>
    <n v="20"/>
    <n v="15"/>
    <x v="7"/>
  </r>
  <r>
    <n v="3351"/>
    <s v="Íris Santos"/>
    <x v="1"/>
    <x v="119"/>
    <x v="1"/>
    <n v="5"/>
    <x v="0"/>
    <x v="1"/>
    <x v="1"/>
    <x v="1"/>
    <n v="0"/>
    <n v="1"/>
    <x v="4"/>
  </r>
  <r>
    <n v="3352"/>
    <s v="João Marcelo"/>
    <x v="0"/>
    <x v="120"/>
    <x v="0"/>
    <n v="15"/>
    <x v="2"/>
    <x v="0"/>
    <x v="0"/>
    <x v="0"/>
    <n v="20"/>
    <n v="7"/>
    <x v="12"/>
  </r>
  <r>
    <n v="3353"/>
    <s v="Larissa Gomes"/>
    <x v="2"/>
    <x v="121"/>
    <x v="1"/>
    <n v="10"/>
    <x v="0"/>
    <x v="1"/>
    <x v="1"/>
    <x v="0"/>
    <n v="20"/>
    <n v="10"/>
    <x v="2"/>
  </r>
  <r>
    <n v="3354"/>
    <s v="Márcio Silva"/>
    <x v="1"/>
    <x v="122"/>
    <x v="0"/>
    <n v="5"/>
    <x v="1"/>
    <x v="1"/>
    <x v="1"/>
    <x v="1"/>
    <n v="0"/>
    <n v="0"/>
    <x v="1"/>
  </r>
  <r>
    <n v="3355"/>
    <s v="Nadia Costa"/>
    <x v="0"/>
    <x v="123"/>
    <x v="1"/>
    <n v="15"/>
    <x v="0"/>
    <x v="0"/>
    <x v="0"/>
    <x v="0"/>
    <n v="20"/>
    <n v="20"/>
    <x v="8"/>
  </r>
  <r>
    <n v="3356"/>
    <s v="Oscar Almeida"/>
    <x v="2"/>
    <x v="124"/>
    <x v="0"/>
    <n v="10"/>
    <x v="2"/>
    <x v="1"/>
    <x v="1"/>
    <x v="0"/>
    <n v="20"/>
    <n v="15"/>
    <x v="7"/>
  </r>
  <r>
    <n v="3357"/>
    <s v="Patricia Soares"/>
    <x v="1"/>
    <x v="125"/>
    <x v="1"/>
    <n v="5"/>
    <x v="0"/>
    <x v="1"/>
    <x v="1"/>
    <x v="1"/>
    <n v="0"/>
    <n v="1"/>
    <x v="4"/>
  </r>
  <r>
    <n v="3358"/>
    <s v="Quênia Barros"/>
    <x v="0"/>
    <x v="126"/>
    <x v="0"/>
    <n v="15"/>
    <x v="1"/>
    <x v="0"/>
    <x v="0"/>
    <x v="0"/>
    <n v="20"/>
    <n v="3"/>
    <x v="3"/>
  </r>
  <r>
    <n v="3359"/>
    <s v="Rafael Torres"/>
    <x v="2"/>
    <x v="127"/>
    <x v="1"/>
    <n v="10"/>
    <x v="0"/>
    <x v="1"/>
    <x v="1"/>
    <x v="0"/>
    <n v="20"/>
    <n v="10"/>
    <x v="2"/>
  </r>
  <r>
    <n v="3360"/>
    <s v="Silvia Nascimento"/>
    <x v="1"/>
    <x v="128"/>
    <x v="0"/>
    <n v="5"/>
    <x v="2"/>
    <x v="1"/>
    <x v="1"/>
    <x v="1"/>
    <n v="0"/>
    <n v="0"/>
    <x v="1"/>
  </r>
  <r>
    <n v="3361"/>
    <s v="Tiago Mendes"/>
    <x v="0"/>
    <x v="129"/>
    <x v="1"/>
    <n v="15"/>
    <x v="0"/>
    <x v="0"/>
    <x v="0"/>
    <x v="0"/>
    <n v="20"/>
    <n v="15"/>
    <x v="14"/>
  </r>
  <r>
    <n v="3362"/>
    <s v="Ursula Silva"/>
    <x v="2"/>
    <x v="130"/>
    <x v="0"/>
    <n v="10"/>
    <x v="1"/>
    <x v="1"/>
    <x v="1"/>
    <x v="0"/>
    <n v="20"/>
    <n v="15"/>
    <x v="7"/>
  </r>
  <r>
    <n v="3363"/>
    <s v="Vanessa Moraes"/>
    <x v="1"/>
    <x v="131"/>
    <x v="1"/>
    <n v="5"/>
    <x v="0"/>
    <x v="1"/>
    <x v="1"/>
    <x v="1"/>
    <n v="0"/>
    <n v="1"/>
    <x v="4"/>
  </r>
  <r>
    <n v="3364"/>
    <s v="Waldir Junior"/>
    <x v="0"/>
    <x v="132"/>
    <x v="0"/>
    <n v="15"/>
    <x v="2"/>
    <x v="0"/>
    <x v="0"/>
    <x v="0"/>
    <n v="20"/>
    <n v="7"/>
    <x v="12"/>
  </r>
  <r>
    <n v="3365"/>
    <s v="Xavier Lopes"/>
    <x v="2"/>
    <x v="133"/>
    <x v="1"/>
    <n v="10"/>
    <x v="0"/>
    <x v="1"/>
    <x v="1"/>
    <x v="0"/>
    <n v="20"/>
    <n v="10"/>
    <x v="2"/>
  </r>
  <r>
    <n v="3366"/>
    <s v="Yolanda Freitas"/>
    <x v="1"/>
    <x v="134"/>
    <x v="0"/>
    <n v="5"/>
    <x v="0"/>
    <x v="1"/>
    <x v="1"/>
    <x v="1"/>
    <n v="0"/>
    <n v="0"/>
    <x v="1"/>
  </r>
  <r>
    <n v="3367"/>
    <s v="Zacarias Nunes"/>
    <x v="0"/>
    <x v="135"/>
    <x v="1"/>
    <n v="15"/>
    <x v="2"/>
    <x v="0"/>
    <x v="0"/>
    <x v="0"/>
    <n v="20"/>
    <n v="7"/>
    <x v="12"/>
  </r>
  <r>
    <n v="3368"/>
    <s v="Ana Clara Barreto"/>
    <x v="2"/>
    <x v="136"/>
    <x v="0"/>
    <n v="10"/>
    <x v="1"/>
    <x v="1"/>
    <x v="1"/>
    <x v="0"/>
    <n v="20"/>
    <n v="10"/>
    <x v="2"/>
  </r>
  <r>
    <n v="3369"/>
    <s v="Bruno Henrique"/>
    <x v="1"/>
    <x v="137"/>
    <x v="1"/>
    <n v="5"/>
    <x v="2"/>
    <x v="1"/>
    <x v="1"/>
    <x v="1"/>
    <n v="0"/>
    <n v="1"/>
    <x v="4"/>
  </r>
  <r>
    <n v="3370"/>
    <s v="Carlos Eduardo"/>
    <x v="0"/>
    <x v="138"/>
    <x v="0"/>
    <n v="15"/>
    <x v="0"/>
    <x v="0"/>
    <x v="0"/>
    <x v="0"/>
    <n v="20"/>
    <n v="15"/>
    <x v="14"/>
  </r>
  <r>
    <n v="3371"/>
    <s v="Débora Lima"/>
    <x v="2"/>
    <x v="139"/>
    <x v="1"/>
    <n v="10"/>
    <x v="0"/>
    <x v="1"/>
    <x v="1"/>
    <x v="0"/>
    <n v="20"/>
    <n v="5"/>
    <x v="13"/>
  </r>
  <r>
    <n v="3372"/>
    <s v="Elisa Neves"/>
    <x v="1"/>
    <x v="140"/>
    <x v="0"/>
    <n v="5"/>
    <x v="1"/>
    <x v="1"/>
    <x v="1"/>
    <x v="1"/>
    <n v="0"/>
    <n v="0"/>
    <x v="1"/>
  </r>
  <r>
    <n v="3373"/>
    <s v="Fabiano Gomes"/>
    <x v="0"/>
    <x v="141"/>
    <x v="1"/>
    <n v="15"/>
    <x v="2"/>
    <x v="0"/>
    <x v="0"/>
    <x v="0"/>
    <n v="20"/>
    <n v="20"/>
    <x v="8"/>
  </r>
  <r>
    <n v="3374"/>
    <s v="Gisele Oliveira"/>
    <x v="2"/>
    <x v="142"/>
    <x v="0"/>
    <n v="10"/>
    <x v="2"/>
    <x v="1"/>
    <x v="1"/>
    <x v="0"/>
    <n v="20"/>
    <n v="12"/>
    <x v="10"/>
  </r>
  <r>
    <n v="3375"/>
    <s v="Héctor Silva"/>
    <x v="1"/>
    <x v="143"/>
    <x v="1"/>
    <n v="5"/>
    <x v="0"/>
    <x v="1"/>
    <x v="1"/>
    <x v="1"/>
    <n v="0"/>
    <n v="2"/>
    <x v="11"/>
  </r>
  <r>
    <n v="3376"/>
    <s v="Igor Martins"/>
    <x v="0"/>
    <x v="144"/>
    <x v="0"/>
    <n v="15"/>
    <x v="1"/>
    <x v="0"/>
    <x v="0"/>
    <x v="0"/>
    <n v="20"/>
    <n v="5"/>
    <x v="0"/>
  </r>
  <r>
    <n v="3377"/>
    <s v="Joana Figueiredo"/>
    <x v="2"/>
    <x v="145"/>
    <x v="1"/>
    <n v="10"/>
    <x v="0"/>
    <x v="1"/>
    <x v="1"/>
    <x v="0"/>
    <n v="20"/>
    <n v="10"/>
    <x v="2"/>
  </r>
  <r>
    <n v="3378"/>
    <s v="Kleber Machado"/>
    <x v="1"/>
    <x v="146"/>
    <x v="0"/>
    <n v="5"/>
    <x v="2"/>
    <x v="1"/>
    <x v="1"/>
    <x v="1"/>
    <n v="0"/>
    <n v="0"/>
    <x v="1"/>
  </r>
  <r>
    <n v="3379"/>
    <s v="Luciana Santos"/>
    <x v="0"/>
    <x v="147"/>
    <x v="1"/>
    <n v="15"/>
    <x v="0"/>
    <x v="0"/>
    <x v="0"/>
    <x v="0"/>
    <n v="20"/>
    <n v="3"/>
    <x v="3"/>
  </r>
  <r>
    <n v="3380"/>
    <s v="Marcos Teixeira"/>
    <x v="2"/>
    <x v="148"/>
    <x v="0"/>
    <n v="10"/>
    <x v="1"/>
    <x v="1"/>
    <x v="1"/>
    <x v="0"/>
    <n v="20"/>
    <n v="15"/>
    <x v="7"/>
  </r>
  <r>
    <n v="3381"/>
    <s v="Natalia Costa"/>
    <x v="1"/>
    <x v="149"/>
    <x v="1"/>
    <n v="5"/>
    <x v="0"/>
    <x v="1"/>
    <x v="1"/>
    <x v="1"/>
    <n v="0"/>
    <n v="1"/>
    <x v="4"/>
  </r>
  <r>
    <n v="3382"/>
    <s v="Oscar Ribeiro"/>
    <x v="0"/>
    <x v="150"/>
    <x v="0"/>
    <n v="15"/>
    <x v="2"/>
    <x v="0"/>
    <x v="0"/>
    <x v="0"/>
    <n v="20"/>
    <n v="7"/>
    <x v="12"/>
  </r>
  <r>
    <n v="3383"/>
    <s v="Patricia Almeida"/>
    <x v="2"/>
    <x v="151"/>
    <x v="1"/>
    <n v="10"/>
    <x v="0"/>
    <x v="1"/>
    <x v="1"/>
    <x v="0"/>
    <n v="20"/>
    <n v="10"/>
    <x v="2"/>
  </r>
  <r>
    <n v="3384"/>
    <s v="Quirino Junior"/>
    <x v="1"/>
    <x v="152"/>
    <x v="0"/>
    <n v="5"/>
    <x v="1"/>
    <x v="1"/>
    <x v="1"/>
    <x v="1"/>
    <n v="0"/>
    <n v="0"/>
    <x v="1"/>
  </r>
  <r>
    <n v="3385"/>
    <s v="Renata Machado"/>
    <x v="0"/>
    <x v="153"/>
    <x v="1"/>
    <n v="15"/>
    <x v="0"/>
    <x v="0"/>
    <x v="0"/>
    <x v="0"/>
    <n v="20"/>
    <n v="20"/>
    <x v="8"/>
  </r>
  <r>
    <n v="3386"/>
    <s v="Sônia Alves"/>
    <x v="2"/>
    <x v="154"/>
    <x v="0"/>
    <n v="10"/>
    <x v="2"/>
    <x v="1"/>
    <x v="1"/>
    <x v="0"/>
    <n v="20"/>
    <n v="15"/>
    <x v="7"/>
  </r>
  <r>
    <n v="3387"/>
    <s v="Tiago Nunes"/>
    <x v="1"/>
    <x v="155"/>
    <x v="1"/>
    <n v="5"/>
    <x v="0"/>
    <x v="1"/>
    <x v="1"/>
    <x v="1"/>
    <n v="0"/>
    <n v="1"/>
    <x v="4"/>
  </r>
  <r>
    <n v="3388"/>
    <s v="Ulysses Pereira"/>
    <x v="0"/>
    <x v="156"/>
    <x v="0"/>
    <n v="15"/>
    <x v="1"/>
    <x v="0"/>
    <x v="0"/>
    <x v="0"/>
    <n v="20"/>
    <n v="3"/>
    <x v="3"/>
  </r>
  <r>
    <n v="3389"/>
    <s v="Vanessa Lima"/>
    <x v="2"/>
    <x v="157"/>
    <x v="1"/>
    <n v="10"/>
    <x v="0"/>
    <x v="1"/>
    <x v="1"/>
    <x v="0"/>
    <n v="20"/>
    <n v="10"/>
    <x v="2"/>
  </r>
  <r>
    <n v="3390"/>
    <s v="Wagner Santos"/>
    <x v="1"/>
    <x v="158"/>
    <x v="0"/>
    <n v="5"/>
    <x v="2"/>
    <x v="1"/>
    <x v="1"/>
    <x v="1"/>
    <n v="0"/>
    <n v="0"/>
    <x v="1"/>
  </r>
  <r>
    <n v="3391"/>
    <s v="Xuxa Meneghel"/>
    <x v="0"/>
    <x v="159"/>
    <x v="1"/>
    <n v="15"/>
    <x v="0"/>
    <x v="0"/>
    <x v="0"/>
    <x v="0"/>
    <n v="20"/>
    <n v="15"/>
    <x v="14"/>
  </r>
  <r>
    <n v="3392"/>
    <s v="Yasmin Silva"/>
    <x v="2"/>
    <x v="160"/>
    <x v="0"/>
    <n v="10"/>
    <x v="1"/>
    <x v="1"/>
    <x v="1"/>
    <x v="0"/>
    <n v="20"/>
    <n v="15"/>
    <x v="7"/>
  </r>
  <r>
    <n v="3393"/>
    <s v="Zacarias de Souza"/>
    <x v="1"/>
    <x v="161"/>
    <x v="1"/>
    <n v="5"/>
    <x v="0"/>
    <x v="1"/>
    <x v="1"/>
    <x v="1"/>
    <n v="0"/>
    <n v="1"/>
    <x v="4"/>
  </r>
  <r>
    <n v="3394"/>
    <s v="André Lima"/>
    <x v="0"/>
    <x v="162"/>
    <x v="0"/>
    <n v="15"/>
    <x v="2"/>
    <x v="0"/>
    <x v="0"/>
    <x v="0"/>
    <n v="20"/>
    <n v="7"/>
    <x v="12"/>
  </r>
  <r>
    <n v="3395"/>
    <s v="Bianca Freitas"/>
    <x v="2"/>
    <x v="163"/>
    <x v="1"/>
    <n v="10"/>
    <x v="0"/>
    <x v="1"/>
    <x v="1"/>
    <x v="0"/>
    <n v="20"/>
    <n v="10"/>
    <x v="2"/>
  </r>
  <r>
    <n v="3396"/>
    <s v="Caio Mendes"/>
    <x v="1"/>
    <x v="164"/>
    <x v="0"/>
    <n v="5"/>
    <x v="1"/>
    <x v="1"/>
    <x v="1"/>
    <x v="1"/>
    <n v="0"/>
    <n v="0"/>
    <x v="1"/>
  </r>
  <r>
    <n v="3397"/>
    <s v="Daniela Moura"/>
    <x v="0"/>
    <x v="165"/>
    <x v="1"/>
    <n v="15"/>
    <x v="0"/>
    <x v="0"/>
    <x v="0"/>
    <x v="0"/>
    <n v="20"/>
    <n v="20"/>
    <x v="8"/>
  </r>
  <r>
    <n v="3398"/>
    <s v="Eduardo Costa"/>
    <x v="2"/>
    <x v="166"/>
    <x v="0"/>
    <n v="10"/>
    <x v="2"/>
    <x v="1"/>
    <x v="1"/>
    <x v="0"/>
    <n v="20"/>
    <n v="15"/>
    <x v="7"/>
  </r>
  <r>
    <n v="3399"/>
    <s v="Fernanda Gomes"/>
    <x v="1"/>
    <x v="167"/>
    <x v="1"/>
    <n v="5"/>
    <x v="0"/>
    <x v="1"/>
    <x v="1"/>
    <x v="1"/>
    <n v="0"/>
    <n v="1"/>
    <x v="4"/>
  </r>
  <r>
    <n v="3400"/>
    <s v="Guilherme Souza"/>
    <x v="0"/>
    <x v="168"/>
    <x v="0"/>
    <n v="15"/>
    <x v="1"/>
    <x v="0"/>
    <x v="0"/>
    <x v="0"/>
    <n v="20"/>
    <n v="5"/>
    <x v="0"/>
  </r>
  <r>
    <n v="3401"/>
    <s v="Helena Ribeiro"/>
    <x v="2"/>
    <x v="169"/>
    <x v="1"/>
    <n v="10"/>
    <x v="0"/>
    <x v="1"/>
    <x v="1"/>
    <x v="0"/>
    <n v="20"/>
    <n v="10"/>
    <x v="2"/>
  </r>
  <r>
    <n v="3402"/>
    <s v="Igor Santos"/>
    <x v="1"/>
    <x v="170"/>
    <x v="0"/>
    <n v="5"/>
    <x v="2"/>
    <x v="1"/>
    <x v="1"/>
    <x v="1"/>
    <n v="0"/>
    <n v="0"/>
    <x v="1"/>
  </r>
  <r>
    <n v="3403"/>
    <s v="João Carvalho"/>
    <x v="0"/>
    <x v="171"/>
    <x v="1"/>
    <n v="15"/>
    <x v="0"/>
    <x v="0"/>
    <x v="0"/>
    <x v="0"/>
    <n v="20"/>
    <n v="3"/>
    <x v="3"/>
  </r>
  <r>
    <n v="3404"/>
    <s v="Klara Fagundes"/>
    <x v="2"/>
    <x v="172"/>
    <x v="0"/>
    <n v="10"/>
    <x v="1"/>
    <x v="1"/>
    <x v="1"/>
    <x v="0"/>
    <n v="20"/>
    <n v="15"/>
    <x v="7"/>
  </r>
  <r>
    <n v="3405"/>
    <s v="Lúcia Mendonça"/>
    <x v="1"/>
    <x v="173"/>
    <x v="1"/>
    <n v="5"/>
    <x v="0"/>
    <x v="1"/>
    <x v="1"/>
    <x v="1"/>
    <n v="0"/>
    <n v="1"/>
    <x v="4"/>
  </r>
  <r>
    <n v="3406"/>
    <s v="Marcelo Novaes"/>
    <x v="1"/>
    <x v="174"/>
    <x v="0"/>
    <n v="5"/>
    <x v="0"/>
    <x v="1"/>
    <x v="1"/>
    <x v="1"/>
    <n v="0"/>
    <n v="0"/>
    <x v="1"/>
  </r>
  <r>
    <n v="3407"/>
    <s v="Nina Pacheco"/>
    <x v="0"/>
    <x v="175"/>
    <x v="1"/>
    <n v="15"/>
    <x v="2"/>
    <x v="0"/>
    <x v="0"/>
    <x v="0"/>
    <n v="20"/>
    <n v="7"/>
    <x v="12"/>
  </r>
  <r>
    <n v="3408"/>
    <s v="Olívia Rios"/>
    <x v="2"/>
    <x v="176"/>
    <x v="0"/>
    <n v="10"/>
    <x v="1"/>
    <x v="1"/>
    <x v="1"/>
    <x v="0"/>
    <n v="20"/>
    <n v="10"/>
    <x v="2"/>
  </r>
  <r>
    <n v="3409"/>
    <s v="Paulo Quintana"/>
    <x v="1"/>
    <x v="177"/>
    <x v="1"/>
    <n v="5"/>
    <x v="2"/>
    <x v="1"/>
    <x v="1"/>
    <x v="1"/>
    <n v="0"/>
    <n v="1"/>
    <x v="4"/>
  </r>
  <r>
    <n v="3410"/>
    <s v="Raquel Domingos"/>
    <x v="0"/>
    <x v="178"/>
    <x v="0"/>
    <n v="15"/>
    <x v="0"/>
    <x v="0"/>
    <x v="0"/>
    <x v="0"/>
    <n v="20"/>
    <n v="15"/>
    <x v="14"/>
  </r>
  <r>
    <n v="3411"/>
    <s v="Samuel Viana"/>
    <x v="2"/>
    <x v="179"/>
    <x v="1"/>
    <n v="10"/>
    <x v="0"/>
    <x v="1"/>
    <x v="1"/>
    <x v="0"/>
    <n v="20"/>
    <n v="5"/>
    <x v="13"/>
  </r>
  <r>
    <n v="3412"/>
    <s v="Tatiane Rocha"/>
    <x v="1"/>
    <x v="180"/>
    <x v="0"/>
    <n v="5"/>
    <x v="1"/>
    <x v="1"/>
    <x v="1"/>
    <x v="1"/>
    <n v="0"/>
    <n v="0"/>
    <x v="1"/>
  </r>
  <r>
    <n v="3413"/>
    <s v="Ulysses Farias"/>
    <x v="0"/>
    <x v="181"/>
    <x v="1"/>
    <n v="15"/>
    <x v="2"/>
    <x v="0"/>
    <x v="0"/>
    <x v="0"/>
    <n v="20"/>
    <n v="20"/>
    <x v="8"/>
  </r>
  <r>
    <n v="3414"/>
    <s v="Vanessa Moreira"/>
    <x v="2"/>
    <x v="182"/>
    <x v="0"/>
    <n v="10"/>
    <x v="2"/>
    <x v="1"/>
    <x v="1"/>
    <x v="0"/>
    <n v="20"/>
    <n v="12"/>
    <x v="10"/>
  </r>
  <r>
    <n v="3415"/>
    <s v="William Carvalho"/>
    <x v="1"/>
    <x v="183"/>
    <x v="1"/>
    <n v="5"/>
    <x v="0"/>
    <x v="1"/>
    <x v="1"/>
    <x v="1"/>
    <n v="0"/>
    <n v="2"/>
    <x v="11"/>
  </r>
  <r>
    <n v="3416"/>
    <s v="Ximena Barros"/>
    <x v="0"/>
    <x v="184"/>
    <x v="0"/>
    <n v="15"/>
    <x v="1"/>
    <x v="0"/>
    <x v="0"/>
    <x v="0"/>
    <n v="20"/>
    <n v="5"/>
    <x v="0"/>
  </r>
  <r>
    <n v="3417"/>
    <s v="Yara Machado"/>
    <x v="2"/>
    <x v="185"/>
    <x v="1"/>
    <n v="10"/>
    <x v="0"/>
    <x v="1"/>
    <x v="1"/>
    <x v="0"/>
    <n v="20"/>
    <n v="10"/>
    <x v="2"/>
  </r>
  <r>
    <n v="3418"/>
    <s v="Zacarias Costa"/>
    <x v="1"/>
    <x v="186"/>
    <x v="0"/>
    <n v="5"/>
    <x v="2"/>
    <x v="1"/>
    <x v="1"/>
    <x v="1"/>
    <n v="0"/>
    <n v="0"/>
    <x v="1"/>
  </r>
  <r>
    <n v="3419"/>
    <s v="André Lopes"/>
    <x v="0"/>
    <x v="187"/>
    <x v="1"/>
    <n v="15"/>
    <x v="0"/>
    <x v="0"/>
    <x v="0"/>
    <x v="0"/>
    <n v="20"/>
    <n v="3"/>
    <x v="3"/>
  </r>
  <r>
    <n v="3420"/>
    <s v="Beatriz Souza"/>
    <x v="2"/>
    <x v="188"/>
    <x v="0"/>
    <n v="10"/>
    <x v="1"/>
    <x v="1"/>
    <x v="1"/>
    <x v="0"/>
    <n v="20"/>
    <n v="15"/>
    <x v="7"/>
  </r>
  <r>
    <n v="3421"/>
    <s v="Caio Pereira"/>
    <x v="1"/>
    <x v="189"/>
    <x v="1"/>
    <n v="5"/>
    <x v="0"/>
    <x v="1"/>
    <x v="1"/>
    <x v="1"/>
    <n v="0"/>
    <n v="1"/>
    <x v="4"/>
  </r>
  <r>
    <n v="3422"/>
    <s v="Daniela Araújo"/>
    <x v="0"/>
    <x v="190"/>
    <x v="0"/>
    <n v="15"/>
    <x v="2"/>
    <x v="0"/>
    <x v="0"/>
    <x v="0"/>
    <n v="20"/>
    <n v="7"/>
    <x v="12"/>
  </r>
  <r>
    <n v="3423"/>
    <s v="Eduardo Santos"/>
    <x v="2"/>
    <x v="191"/>
    <x v="1"/>
    <n v="10"/>
    <x v="0"/>
    <x v="1"/>
    <x v="1"/>
    <x v="0"/>
    <n v="20"/>
    <n v="10"/>
    <x v="2"/>
  </r>
  <r>
    <n v="3424"/>
    <s v="Fernanda Lima"/>
    <x v="1"/>
    <x v="192"/>
    <x v="0"/>
    <n v="5"/>
    <x v="1"/>
    <x v="1"/>
    <x v="1"/>
    <x v="1"/>
    <n v="0"/>
    <n v="0"/>
    <x v="1"/>
  </r>
  <r>
    <n v="3425"/>
    <s v="Gabriel Teixeira"/>
    <x v="0"/>
    <x v="193"/>
    <x v="1"/>
    <n v="15"/>
    <x v="0"/>
    <x v="0"/>
    <x v="0"/>
    <x v="0"/>
    <n v="20"/>
    <n v="20"/>
    <x v="8"/>
  </r>
  <r>
    <n v="3426"/>
    <s v="Helena Ribeiro"/>
    <x v="2"/>
    <x v="194"/>
    <x v="0"/>
    <n v="10"/>
    <x v="2"/>
    <x v="1"/>
    <x v="1"/>
    <x v="0"/>
    <n v="20"/>
    <n v="15"/>
    <x v="7"/>
  </r>
  <r>
    <n v="3427"/>
    <s v="Igor Mendes"/>
    <x v="1"/>
    <x v="195"/>
    <x v="1"/>
    <n v="5"/>
    <x v="0"/>
    <x v="1"/>
    <x v="1"/>
    <x v="1"/>
    <n v="0"/>
    <n v="1"/>
    <x v="4"/>
  </r>
  <r>
    <n v="3428"/>
    <s v="Joana Silveira"/>
    <x v="0"/>
    <x v="196"/>
    <x v="0"/>
    <n v="15"/>
    <x v="1"/>
    <x v="0"/>
    <x v="0"/>
    <x v="0"/>
    <n v="20"/>
    <n v="3"/>
    <x v="3"/>
  </r>
  <r>
    <n v="3429"/>
    <s v="Lucas Martins"/>
    <x v="2"/>
    <x v="197"/>
    <x v="1"/>
    <n v="10"/>
    <x v="0"/>
    <x v="1"/>
    <x v="1"/>
    <x v="0"/>
    <n v="20"/>
    <n v="10"/>
    <x v="2"/>
  </r>
  <r>
    <n v="3430"/>
    <s v="Marcela Gouveia"/>
    <x v="1"/>
    <x v="198"/>
    <x v="0"/>
    <n v="5"/>
    <x v="2"/>
    <x v="1"/>
    <x v="1"/>
    <x v="1"/>
    <n v="0"/>
    <n v="0"/>
    <x v="1"/>
  </r>
  <r>
    <n v="3431"/>
    <s v="Nicolas Borges"/>
    <x v="0"/>
    <x v="199"/>
    <x v="1"/>
    <n v="15"/>
    <x v="0"/>
    <x v="0"/>
    <x v="0"/>
    <x v="0"/>
    <n v="20"/>
    <n v="15"/>
    <x v="14"/>
  </r>
  <r>
    <n v="3432"/>
    <s v="Olivia Freitas"/>
    <x v="2"/>
    <x v="200"/>
    <x v="0"/>
    <n v="10"/>
    <x v="1"/>
    <x v="1"/>
    <x v="1"/>
    <x v="0"/>
    <n v="20"/>
    <n v="15"/>
    <x v="7"/>
  </r>
  <r>
    <n v="3433"/>
    <s v="Paulo Nogueira"/>
    <x v="1"/>
    <x v="201"/>
    <x v="1"/>
    <n v="5"/>
    <x v="0"/>
    <x v="1"/>
    <x v="1"/>
    <x v="1"/>
    <n v="0"/>
    <n v="1"/>
    <x v="4"/>
  </r>
  <r>
    <n v="3434"/>
    <s v="Raquel Andrade"/>
    <x v="0"/>
    <x v="202"/>
    <x v="0"/>
    <n v="15"/>
    <x v="2"/>
    <x v="0"/>
    <x v="0"/>
    <x v="0"/>
    <n v="20"/>
    <n v="7"/>
    <x v="12"/>
  </r>
  <r>
    <n v="3435"/>
    <s v="Sônia Carvalho"/>
    <x v="2"/>
    <x v="203"/>
    <x v="1"/>
    <n v="10"/>
    <x v="0"/>
    <x v="1"/>
    <x v="1"/>
    <x v="0"/>
    <n v="20"/>
    <n v="10"/>
    <x v="2"/>
  </r>
  <r>
    <n v="3436"/>
    <s v="Tiago Rodrigues"/>
    <x v="1"/>
    <x v="204"/>
    <x v="0"/>
    <n v="5"/>
    <x v="0"/>
    <x v="1"/>
    <x v="1"/>
    <x v="1"/>
    <n v="0"/>
    <n v="0"/>
    <x v="1"/>
  </r>
  <r>
    <n v="3437"/>
    <s v="Ursula Monteiro"/>
    <x v="0"/>
    <x v="205"/>
    <x v="1"/>
    <n v="15"/>
    <x v="2"/>
    <x v="0"/>
    <x v="0"/>
    <x v="0"/>
    <n v="20"/>
    <n v="7"/>
    <x v="12"/>
  </r>
  <r>
    <n v="3438"/>
    <s v="Vanessa Pereira"/>
    <x v="2"/>
    <x v="206"/>
    <x v="0"/>
    <n v="10"/>
    <x v="1"/>
    <x v="1"/>
    <x v="1"/>
    <x v="0"/>
    <n v="20"/>
    <n v="10"/>
    <x v="2"/>
  </r>
  <r>
    <n v="3439"/>
    <s v="Walter Silva"/>
    <x v="1"/>
    <x v="207"/>
    <x v="1"/>
    <n v="5"/>
    <x v="2"/>
    <x v="1"/>
    <x v="1"/>
    <x v="1"/>
    <n v="0"/>
    <n v="1"/>
    <x v="4"/>
  </r>
  <r>
    <n v="3440"/>
    <s v="Xavier Almeida"/>
    <x v="0"/>
    <x v="208"/>
    <x v="0"/>
    <n v="15"/>
    <x v="0"/>
    <x v="0"/>
    <x v="0"/>
    <x v="0"/>
    <n v="20"/>
    <n v="15"/>
    <x v="14"/>
  </r>
  <r>
    <n v="3441"/>
    <s v="Yasmine Correia"/>
    <x v="2"/>
    <x v="209"/>
    <x v="1"/>
    <n v="10"/>
    <x v="0"/>
    <x v="1"/>
    <x v="1"/>
    <x v="0"/>
    <n v="20"/>
    <n v="5"/>
    <x v="13"/>
  </r>
  <r>
    <n v="3442"/>
    <s v="Zacarias Almeida"/>
    <x v="1"/>
    <x v="210"/>
    <x v="0"/>
    <n v="5"/>
    <x v="1"/>
    <x v="1"/>
    <x v="1"/>
    <x v="1"/>
    <n v="0"/>
    <n v="0"/>
    <x v="1"/>
  </r>
  <r>
    <n v="3443"/>
    <s v="Amanda Costa"/>
    <x v="0"/>
    <x v="211"/>
    <x v="1"/>
    <n v="15"/>
    <x v="2"/>
    <x v="0"/>
    <x v="0"/>
    <x v="0"/>
    <n v="20"/>
    <n v="20"/>
    <x v="8"/>
  </r>
  <r>
    <n v="3444"/>
    <s v="Bruno Ferreira"/>
    <x v="2"/>
    <x v="212"/>
    <x v="0"/>
    <n v="10"/>
    <x v="2"/>
    <x v="1"/>
    <x v="1"/>
    <x v="0"/>
    <n v="20"/>
    <n v="12"/>
    <x v="10"/>
  </r>
  <r>
    <n v="3445"/>
    <s v="Carla Dias"/>
    <x v="1"/>
    <x v="213"/>
    <x v="1"/>
    <n v="5"/>
    <x v="0"/>
    <x v="1"/>
    <x v="1"/>
    <x v="1"/>
    <n v="0"/>
    <n v="2"/>
    <x v="11"/>
  </r>
  <r>
    <n v="3446"/>
    <s v="Diogo Martins"/>
    <x v="0"/>
    <x v="214"/>
    <x v="0"/>
    <n v="15"/>
    <x v="1"/>
    <x v="0"/>
    <x v="0"/>
    <x v="0"/>
    <n v="20"/>
    <n v="5"/>
    <x v="0"/>
  </r>
  <r>
    <n v="3447"/>
    <s v="Elisa Campos"/>
    <x v="2"/>
    <x v="215"/>
    <x v="1"/>
    <n v="10"/>
    <x v="0"/>
    <x v="1"/>
    <x v="1"/>
    <x v="0"/>
    <n v="20"/>
    <n v="10"/>
    <x v="2"/>
  </r>
  <r>
    <n v="3448"/>
    <s v="Fabiana Lima"/>
    <x v="1"/>
    <x v="216"/>
    <x v="0"/>
    <n v="5"/>
    <x v="2"/>
    <x v="1"/>
    <x v="1"/>
    <x v="1"/>
    <n v="0"/>
    <n v="0"/>
    <x v="1"/>
  </r>
  <r>
    <n v="3449"/>
    <s v="Gabriel Santos"/>
    <x v="0"/>
    <x v="217"/>
    <x v="1"/>
    <n v="15"/>
    <x v="0"/>
    <x v="0"/>
    <x v="0"/>
    <x v="0"/>
    <n v="20"/>
    <n v="3"/>
    <x v="3"/>
  </r>
  <r>
    <n v="3450"/>
    <s v="Helena Ferreira"/>
    <x v="2"/>
    <x v="218"/>
    <x v="0"/>
    <n v="10"/>
    <x v="1"/>
    <x v="1"/>
    <x v="1"/>
    <x v="0"/>
    <n v="20"/>
    <n v="15"/>
    <x v="7"/>
  </r>
  <r>
    <n v="3451"/>
    <s v="Ígor Nunes"/>
    <x v="1"/>
    <x v="219"/>
    <x v="1"/>
    <n v="5"/>
    <x v="0"/>
    <x v="1"/>
    <x v="1"/>
    <x v="1"/>
    <n v="0"/>
    <n v="1"/>
    <x v="4"/>
  </r>
  <r>
    <n v="3452"/>
    <s v="Joana Silveira"/>
    <x v="0"/>
    <x v="220"/>
    <x v="0"/>
    <n v="15"/>
    <x v="2"/>
    <x v="0"/>
    <x v="0"/>
    <x v="0"/>
    <n v="20"/>
    <n v="7"/>
    <x v="12"/>
  </r>
  <r>
    <n v="3453"/>
    <s v="Kléber Oliveira"/>
    <x v="2"/>
    <x v="221"/>
    <x v="1"/>
    <n v="10"/>
    <x v="0"/>
    <x v="1"/>
    <x v="1"/>
    <x v="0"/>
    <n v="20"/>
    <n v="10"/>
    <x v="2"/>
  </r>
  <r>
    <n v="3454"/>
    <s v="Luciana Morais"/>
    <x v="1"/>
    <x v="222"/>
    <x v="0"/>
    <n v="5"/>
    <x v="1"/>
    <x v="1"/>
    <x v="1"/>
    <x v="1"/>
    <n v="0"/>
    <n v="0"/>
    <x v="1"/>
  </r>
  <r>
    <n v="3455"/>
    <s v="Marcos Vinícius"/>
    <x v="0"/>
    <x v="223"/>
    <x v="1"/>
    <n v="15"/>
    <x v="0"/>
    <x v="0"/>
    <x v="0"/>
    <x v="0"/>
    <n v="20"/>
    <n v="20"/>
    <x v="8"/>
  </r>
  <r>
    <n v="3456"/>
    <s v="Natália Barros"/>
    <x v="2"/>
    <x v="224"/>
    <x v="0"/>
    <n v="10"/>
    <x v="2"/>
    <x v="1"/>
    <x v="1"/>
    <x v="0"/>
    <n v="20"/>
    <n v="15"/>
    <x v="7"/>
  </r>
  <r>
    <n v="3457"/>
    <s v="Oscar Sampaio"/>
    <x v="1"/>
    <x v="225"/>
    <x v="1"/>
    <n v="5"/>
    <x v="0"/>
    <x v="1"/>
    <x v="1"/>
    <x v="1"/>
    <n v="0"/>
    <n v="1"/>
    <x v="4"/>
  </r>
  <r>
    <n v="3458"/>
    <s v="Patrícia Leite"/>
    <x v="0"/>
    <x v="226"/>
    <x v="0"/>
    <n v="15"/>
    <x v="1"/>
    <x v="0"/>
    <x v="0"/>
    <x v="0"/>
    <n v="20"/>
    <n v="3"/>
    <x v="3"/>
  </r>
  <r>
    <n v="3459"/>
    <s v="Quênia Rocha"/>
    <x v="2"/>
    <x v="227"/>
    <x v="1"/>
    <n v="10"/>
    <x v="0"/>
    <x v="1"/>
    <x v="1"/>
    <x v="0"/>
    <n v="20"/>
    <n v="10"/>
    <x v="2"/>
  </r>
  <r>
    <n v="3460"/>
    <s v="Rafael Torres"/>
    <x v="1"/>
    <x v="228"/>
    <x v="0"/>
    <n v="5"/>
    <x v="2"/>
    <x v="1"/>
    <x v="1"/>
    <x v="1"/>
    <n v="0"/>
    <n v="0"/>
    <x v="1"/>
  </r>
  <r>
    <n v="3461"/>
    <s v="Sandra Gouveia"/>
    <x v="0"/>
    <x v="229"/>
    <x v="1"/>
    <n v="15"/>
    <x v="0"/>
    <x v="0"/>
    <x v="0"/>
    <x v="0"/>
    <n v="20"/>
    <n v="15"/>
    <x v="14"/>
  </r>
  <r>
    <n v="3462"/>
    <s v="Tiago Lacerda"/>
    <x v="2"/>
    <x v="230"/>
    <x v="0"/>
    <n v="10"/>
    <x v="1"/>
    <x v="1"/>
    <x v="1"/>
    <x v="0"/>
    <n v="20"/>
    <n v="15"/>
    <x v="7"/>
  </r>
  <r>
    <n v="3463"/>
    <s v="Ursula Fonseca"/>
    <x v="1"/>
    <x v="231"/>
    <x v="1"/>
    <n v="5"/>
    <x v="0"/>
    <x v="1"/>
    <x v="1"/>
    <x v="1"/>
    <n v="0"/>
    <n v="1"/>
    <x v="4"/>
  </r>
  <r>
    <n v="3464"/>
    <s v="Vanessa Andrade"/>
    <x v="0"/>
    <x v="232"/>
    <x v="0"/>
    <n v="15"/>
    <x v="2"/>
    <x v="0"/>
    <x v="0"/>
    <x v="0"/>
    <n v="20"/>
    <n v="7"/>
    <x v="12"/>
  </r>
  <r>
    <n v="3465"/>
    <s v="William Castro"/>
    <x v="2"/>
    <x v="233"/>
    <x v="1"/>
    <n v="10"/>
    <x v="0"/>
    <x v="1"/>
    <x v="1"/>
    <x v="0"/>
    <n v="20"/>
    <n v="10"/>
    <x v="2"/>
  </r>
  <r>
    <n v="3466"/>
    <s v="Xavier Monteiro"/>
    <x v="1"/>
    <x v="234"/>
    <x v="0"/>
    <n v="5"/>
    <x v="1"/>
    <x v="1"/>
    <x v="1"/>
    <x v="1"/>
    <n v="0"/>
    <n v="0"/>
    <x v="1"/>
  </r>
  <r>
    <n v="3467"/>
    <s v="Yasmin Figueira"/>
    <x v="0"/>
    <x v="235"/>
    <x v="1"/>
    <n v="15"/>
    <x v="0"/>
    <x v="0"/>
    <x v="0"/>
    <x v="0"/>
    <n v="20"/>
    <n v="15"/>
    <x v="14"/>
  </r>
  <r>
    <n v="3468"/>
    <s v="Zacarias Mendonça"/>
    <x v="2"/>
    <x v="236"/>
    <x v="0"/>
    <n v="10"/>
    <x v="2"/>
    <x v="1"/>
    <x v="1"/>
    <x v="0"/>
    <n v="20"/>
    <n v="12"/>
    <x v="10"/>
  </r>
  <r>
    <n v="3469"/>
    <s v="Amanda Menezes"/>
    <x v="1"/>
    <x v="237"/>
    <x v="1"/>
    <n v="5"/>
    <x v="0"/>
    <x v="1"/>
    <x v="1"/>
    <x v="1"/>
    <n v="0"/>
    <n v="2"/>
    <x v="11"/>
  </r>
  <r>
    <n v="3470"/>
    <s v="Bruno Santos"/>
    <x v="0"/>
    <x v="238"/>
    <x v="0"/>
    <n v="15"/>
    <x v="1"/>
    <x v="0"/>
    <x v="0"/>
    <x v="0"/>
    <n v="20"/>
    <n v="5"/>
    <x v="0"/>
  </r>
  <r>
    <n v="3471"/>
    <s v="Carla Ferreira"/>
    <x v="2"/>
    <x v="239"/>
    <x v="1"/>
    <n v="10"/>
    <x v="0"/>
    <x v="1"/>
    <x v="1"/>
    <x v="0"/>
    <n v="20"/>
    <n v="10"/>
    <x v="2"/>
  </r>
  <r>
    <n v="3472"/>
    <s v="Diogo Alves"/>
    <x v="1"/>
    <x v="240"/>
    <x v="0"/>
    <n v="5"/>
    <x v="2"/>
    <x v="1"/>
    <x v="1"/>
    <x v="1"/>
    <n v="0"/>
    <n v="0"/>
    <x v="1"/>
  </r>
  <r>
    <n v="3473"/>
    <s v="Elisa Neves"/>
    <x v="0"/>
    <x v="241"/>
    <x v="1"/>
    <n v="15"/>
    <x v="0"/>
    <x v="0"/>
    <x v="0"/>
    <x v="0"/>
    <n v="20"/>
    <n v="3"/>
    <x v="3"/>
  </r>
  <r>
    <n v="3474"/>
    <s v="Fabiano Pires"/>
    <x v="2"/>
    <x v="242"/>
    <x v="0"/>
    <n v="10"/>
    <x v="1"/>
    <x v="1"/>
    <x v="1"/>
    <x v="0"/>
    <n v="20"/>
    <n v="15"/>
    <x v="7"/>
  </r>
  <r>
    <n v="3475"/>
    <s v="Giovana Ribeiro"/>
    <x v="1"/>
    <x v="243"/>
    <x v="1"/>
    <n v="5"/>
    <x v="0"/>
    <x v="1"/>
    <x v="1"/>
    <x v="1"/>
    <n v="0"/>
    <n v="1"/>
    <x v="4"/>
  </r>
  <r>
    <n v="3476"/>
    <s v="Hélio Costa"/>
    <x v="0"/>
    <x v="244"/>
    <x v="0"/>
    <n v="15"/>
    <x v="2"/>
    <x v="0"/>
    <x v="0"/>
    <x v="0"/>
    <n v="20"/>
    <n v="7"/>
    <x v="12"/>
  </r>
  <r>
    <n v="3477"/>
    <s v="Íris Loureiro"/>
    <x v="2"/>
    <x v="245"/>
    <x v="1"/>
    <n v="10"/>
    <x v="0"/>
    <x v="1"/>
    <x v="1"/>
    <x v="0"/>
    <n v="20"/>
    <n v="10"/>
    <x v="2"/>
  </r>
  <r>
    <n v="3478"/>
    <s v="João Pereira"/>
    <x v="1"/>
    <x v="246"/>
    <x v="0"/>
    <n v="5"/>
    <x v="1"/>
    <x v="1"/>
    <x v="1"/>
    <x v="1"/>
    <n v="0"/>
    <n v="0"/>
    <x v="1"/>
  </r>
  <r>
    <n v="3479"/>
    <s v="Klara Silva"/>
    <x v="0"/>
    <x v="247"/>
    <x v="1"/>
    <n v="15"/>
    <x v="0"/>
    <x v="0"/>
    <x v="0"/>
    <x v="0"/>
    <n v="20"/>
    <n v="20"/>
    <x v="8"/>
  </r>
  <r>
    <n v="3480"/>
    <s v="Luciana Barros"/>
    <x v="2"/>
    <x v="248"/>
    <x v="0"/>
    <n v="10"/>
    <x v="2"/>
    <x v="1"/>
    <x v="1"/>
    <x v="0"/>
    <n v="20"/>
    <n v="15"/>
    <x v="7"/>
  </r>
  <r>
    <n v="3481"/>
    <s v="Marcos Gomes"/>
    <x v="1"/>
    <x v="249"/>
    <x v="1"/>
    <n v="5"/>
    <x v="0"/>
    <x v="1"/>
    <x v="1"/>
    <x v="1"/>
    <n v="0"/>
    <n v="1"/>
    <x v="4"/>
  </r>
  <r>
    <n v="3482"/>
    <s v="Natália Soares"/>
    <x v="0"/>
    <x v="250"/>
    <x v="0"/>
    <n v="15"/>
    <x v="1"/>
    <x v="0"/>
    <x v="0"/>
    <x v="0"/>
    <n v="20"/>
    <n v="3"/>
    <x v="3"/>
  </r>
  <r>
    <n v="3483"/>
    <s v="Oscar Machado"/>
    <x v="2"/>
    <x v="251"/>
    <x v="1"/>
    <n v="10"/>
    <x v="0"/>
    <x v="1"/>
    <x v="1"/>
    <x v="0"/>
    <n v="20"/>
    <n v="10"/>
    <x v="2"/>
  </r>
  <r>
    <n v="3484"/>
    <s v="Patrícia Lima"/>
    <x v="1"/>
    <x v="252"/>
    <x v="0"/>
    <n v="5"/>
    <x v="2"/>
    <x v="1"/>
    <x v="1"/>
    <x v="1"/>
    <n v="0"/>
    <n v="0"/>
    <x v="1"/>
  </r>
  <r>
    <n v="3485"/>
    <s v="Quirino Neto"/>
    <x v="0"/>
    <x v="253"/>
    <x v="1"/>
    <n v="15"/>
    <x v="0"/>
    <x v="0"/>
    <x v="0"/>
    <x v="0"/>
    <n v="20"/>
    <n v="15"/>
    <x v="14"/>
  </r>
  <r>
    <n v="3486"/>
    <s v="Rafaela Souza"/>
    <x v="1"/>
    <x v="254"/>
    <x v="0"/>
    <n v="5"/>
    <x v="0"/>
    <x v="1"/>
    <x v="1"/>
    <x v="1"/>
    <n v="0"/>
    <n v="0"/>
    <x v="1"/>
  </r>
  <r>
    <n v="3487"/>
    <s v="Sandro Almeida"/>
    <x v="0"/>
    <x v="255"/>
    <x v="1"/>
    <n v="15"/>
    <x v="2"/>
    <x v="0"/>
    <x v="0"/>
    <x v="0"/>
    <n v="20"/>
    <n v="7"/>
    <x v="12"/>
  </r>
  <r>
    <n v="3488"/>
    <s v="Tânia Ribeiro"/>
    <x v="2"/>
    <x v="256"/>
    <x v="0"/>
    <n v="10"/>
    <x v="1"/>
    <x v="1"/>
    <x v="1"/>
    <x v="0"/>
    <n v="20"/>
    <n v="10"/>
    <x v="2"/>
  </r>
  <r>
    <n v="3489"/>
    <s v="Ugo Dias"/>
    <x v="1"/>
    <x v="257"/>
    <x v="1"/>
    <n v="5"/>
    <x v="2"/>
    <x v="1"/>
    <x v="1"/>
    <x v="1"/>
    <n v="0"/>
    <n v="1"/>
    <x v="4"/>
  </r>
  <r>
    <n v="3490"/>
    <s v="Valéria Lima"/>
    <x v="0"/>
    <x v="258"/>
    <x v="0"/>
    <n v="15"/>
    <x v="0"/>
    <x v="0"/>
    <x v="0"/>
    <x v="0"/>
    <n v="20"/>
    <n v="15"/>
    <x v="14"/>
  </r>
  <r>
    <n v="3491"/>
    <s v="William Fernandes"/>
    <x v="2"/>
    <x v="259"/>
    <x v="1"/>
    <n v="10"/>
    <x v="0"/>
    <x v="1"/>
    <x v="1"/>
    <x v="0"/>
    <n v="20"/>
    <n v="5"/>
    <x v="13"/>
  </r>
  <r>
    <n v="3492"/>
    <s v="Xuxa Mendes"/>
    <x v="1"/>
    <x v="260"/>
    <x v="0"/>
    <n v="5"/>
    <x v="1"/>
    <x v="1"/>
    <x v="1"/>
    <x v="1"/>
    <n v="0"/>
    <n v="0"/>
    <x v="1"/>
  </r>
  <r>
    <n v="3493"/>
    <s v="Ygor Farias"/>
    <x v="0"/>
    <x v="261"/>
    <x v="1"/>
    <n v="15"/>
    <x v="2"/>
    <x v="0"/>
    <x v="0"/>
    <x v="0"/>
    <n v="20"/>
    <n v="20"/>
    <x v="8"/>
  </r>
  <r>
    <n v="3494"/>
    <s v="Zilda Barros"/>
    <x v="2"/>
    <x v="262"/>
    <x v="0"/>
    <n v="10"/>
    <x v="2"/>
    <x v="1"/>
    <x v="1"/>
    <x v="0"/>
    <n v="20"/>
    <n v="12"/>
    <x v="10"/>
  </r>
  <r>
    <n v="3495"/>
    <s v="Amanda Santos"/>
    <x v="1"/>
    <x v="263"/>
    <x v="1"/>
    <n v="5"/>
    <x v="0"/>
    <x v="1"/>
    <x v="1"/>
    <x v="1"/>
    <n v="0"/>
    <n v="2"/>
    <x v="11"/>
  </r>
  <r>
    <n v="3496"/>
    <s v="Bruno Costa"/>
    <x v="0"/>
    <x v="264"/>
    <x v="0"/>
    <n v="15"/>
    <x v="1"/>
    <x v="0"/>
    <x v="0"/>
    <x v="0"/>
    <n v="20"/>
    <n v="5"/>
    <x v="0"/>
  </r>
  <r>
    <n v="3497"/>
    <s v="Carla Rodrigues"/>
    <x v="2"/>
    <x v="265"/>
    <x v="1"/>
    <n v="10"/>
    <x v="0"/>
    <x v="1"/>
    <x v="1"/>
    <x v="0"/>
    <n v="20"/>
    <n v="10"/>
    <x v="2"/>
  </r>
  <r>
    <n v="3498"/>
    <s v="Diogo Pereira"/>
    <x v="1"/>
    <x v="266"/>
    <x v="0"/>
    <n v="5"/>
    <x v="2"/>
    <x v="1"/>
    <x v="1"/>
    <x v="1"/>
    <n v="0"/>
    <n v="0"/>
    <x v="1"/>
  </r>
  <r>
    <n v="3499"/>
    <s v="Elisa Correia"/>
    <x v="0"/>
    <x v="267"/>
    <x v="1"/>
    <n v="15"/>
    <x v="0"/>
    <x v="0"/>
    <x v="0"/>
    <x v="0"/>
    <n v="20"/>
    <n v="3"/>
    <x v="3"/>
  </r>
  <r>
    <n v="3500"/>
    <s v="Fábio Lourenço"/>
    <x v="2"/>
    <x v="268"/>
    <x v="0"/>
    <n v="10"/>
    <x v="1"/>
    <x v="1"/>
    <x v="1"/>
    <x v="0"/>
    <n v="20"/>
    <n v="15"/>
    <x v="7"/>
  </r>
  <r>
    <n v="3501"/>
    <s v="Gabriela Neves"/>
    <x v="1"/>
    <x v="269"/>
    <x v="1"/>
    <n v="5"/>
    <x v="0"/>
    <x v="1"/>
    <x v="1"/>
    <x v="1"/>
    <n v="0"/>
    <n v="1"/>
    <x v="4"/>
  </r>
  <r>
    <n v="3502"/>
    <s v="Henrique Gonçalves"/>
    <x v="0"/>
    <x v="270"/>
    <x v="0"/>
    <n v="15"/>
    <x v="2"/>
    <x v="0"/>
    <x v="0"/>
    <x v="0"/>
    <n v="20"/>
    <n v="7"/>
    <x v="12"/>
  </r>
  <r>
    <n v="3503"/>
    <s v="Íris Santos"/>
    <x v="2"/>
    <x v="271"/>
    <x v="1"/>
    <n v="10"/>
    <x v="0"/>
    <x v="1"/>
    <x v="1"/>
    <x v="0"/>
    <n v="20"/>
    <n v="10"/>
    <x v="2"/>
  </r>
  <r>
    <n v="3504"/>
    <s v="João Marcelo Alves"/>
    <x v="1"/>
    <x v="272"/>
    <x v="0"/>
    <n v="5"/>
    <x v="1"/>
    <x v="1"/>
    <x v="1"/>
    <x v="1"/>
    <n v="0"/>
    <n v="0"/>
    <x v="1"/>
  </r>
  <r>
    <n v="3505"/>
    <s v="Klara Fonseca"/>
    <x v="0"/>
    <x v="273"/>
    <x v="1"/>
    <n v="15"/>
    <x v="0"/>
    <x v="0"/>
    <x v="0"/>
    <x v="0"/>
    <n v="20"/>
    <n v="20"/>
    <x v="8"/>
  </r>
  <r>
    <n v="3506"/>
    <s v="Lucas Mendonça"/>
    <x v="2"/>
    <x v="274"/>
    <x v="0"/>
    <n v="10"/>
    <x v="2"/>
    <x v="1"/>
    <x v="1"/>
    <x v="0"/>
    <n v="20"/>
    <n v="15"/>
    <x v="7"/>
  </r>
  <r>
    <n v="3507"/>
    <s v="Marcela Torres"/>
    <x v="1"/>
    <x v="275"/>
    <x v="1"/>
    <n v="5"/>
    <x v="0"/>
    <x v="1"/>
    <x v="1"/>
    <x v="1"/>
    <n v="0"/>
    <n v="1"/>
    <x v="4"/>
  </r>
  <r>
    <n v="3508"/>
    <s v="Natália Castro"/>
    <x v="0"/>
    <x v="276"/>
    <x v="0"/>
    <n v="15"/>
    <x v="1"/>
    <x v="0"/>
    <x v="0"/>
    <x v="0"/>
    <n v="20"/>
    <n v="3"/>
    <x v="3"/>
  </r>
  <r>
    <n v="3509"/>
    <s v="Oscar Martins"/>
    <x v="2"/>
    <x v="277"/>
    <x v="1"/>
    <n v="10"/>
    <x v="0"/>
    <x v="1"/>
    <x v="1"/>
    <x v="0"/>
    <n v="20"/>
    <n v="10"/>
    <x v="2"/>
  </r>
  <r>
    <n v="3510"/>
    <s v="Patrícia Oliveira"/>
    <x v="1"/>
    <x v="278"/>
    <x v="0"/>
    <n v="5"/>
    <x v="2"/>
    <x v="1"/>
    <x v="1"/>
    <x v="1"/>
    <n v="0"/>
    <n v="0"/>
    <x v="1"/>
  </r>
  <r>
    <n v="3511"/>
    <s v="Quentin Nogueira"/>
    <x v="0"/>
    <x v="279"/>
    <x v="1"/>
    <n v="15"/>
    <x v="0"/>
    <x v="0"/>
    <x v="0"/>
    <x v="0"/>
    <n v="20"/>
    <n v="15"/>
    <x v="14"/>
  </r>
  <r>
    <n v="3512"/>
    <s v="Raquel Silva"/>
    <x v="2"/>
    <x v="280"/>
    <x v="0"/>
    <n v="10"/>
    <x v="1"/>
    <x v="1"/>
    <x v="1"/>
    <x v="0"/>
    <n v="20"/>
    <n v="15"/>
    <x v="7"/>
  </r>
  <r>
    <n v="3513"/>
    <s v="Sandro Gomes"/>
    <x v="1"/>
    <x v="281"/>
    <x v="1"/>
    <n v="5"/>
    <x v="0"/>
    <x v="1"/>
    <x v="1"/>
    <x v="1"/>
    <n v="0"/>
    <n v="1"/>
    <x v="4"/>
  </r>
  <r>
    <n v="3514"/>
    <s v="Tânia Machado"/>
    <x v="0"/>
    <x v="282"/>
    <x v="0"/>
    <n v="15"/>
    <x v="2"/>
    <x v="0"/>
    <x v="0"/>
    <x v="0"/>
    <n v="20"/>
    <n v="7"/>
    <x v="12"/>
  </r>
  <r>
    <n v="3515"/>
    <s v="Ursula Silva"/>
    <x v="2"/>
    <x v="283"/>
    <x v="1"/>
    <n v="10"/>
    <x v="0"/>
    <x v="1"/>
    <x v="1"/>
    <x v="0"/>
    <n v="20"/>
    <n v="10"/>
    <x v="2"/>
  </r>
  <r>
    <n v="3516"/>
    <s v="Vanessa Moraes"/>
    <x v="1"/>
    <x v="284"/>
    <x v="0"/>
    <n v="5"/>
    <x v="1"/>
    <x v="1"/>
    <x v="1"/>
    <x v="1"/>
    <n v="0"/>
    <n v="0"/>
    <x v="1"/>
  </r>
  <r>
    <n v="3517"/>
    <s v="William Carvalho"/>
    <x v="0"/>
    <x v="285"/>
    <x v="1"/>
    <n v="15"/>
    <x v="0"/>
    <x v="0"/>
    <x v="0"/>
    <x v="0"/>
    <n v="20"/>
    <n v="20"/>
    <x v="8"/>
  </r>
  <r>
    <n v="3518"/>
    <s v="Xavier Reis"/>
    <x v="2"/>
    <x v="286"/>
    <x v="0"/>
    <n v="10"/>
    <x v="2"/>
    <x v="1"/>
    <x v="1"/>
    <x v="0"/>
    <n v="20"/>
    <n v="12"/>
    <x v="10"/>
  </r>
  <r>
    <n v="3519"/>
    <s v="Yasmin Rocha"/>
    <x v="1"/>
    <x v="287"/>
    <x v="1"/>
    <n v="5"/>
    <x v="0"/>
    <x v="1"/>
    <x v="1"/>
    <x v="1"/>
    <n v="0"/>
    <n v="2"/>
    <x v="11"/>
  </r>
  <r>
    <n v="3520"/>
    <s v="Zacarias Duarte"/>
    <x v="0"/>
    <x v="288"/>
    <x v="0"/>
    <n v="15"/>
    <x v="1"/>
    <x v="0"/>
    <x v="0"/>
    <x v="0"/>
    <n v="20"/>
    <n v="5"/>
    <x v="0"/>
  </r>
  <r>
    <n v="3521"/>
    <s v="Amanda Freitas"/>
    <x v="2"/>
    <x v="289"/>
    <x v="1"/>
    <n v="10"/>
    <x v="0"/>
    <x v="1"/>
    <x v="1"/>
    <x v="0"/>
    <n v="20"/>
    <n v="10"/>
    <x v="2"/>
  </r>
  <r>
    <n v="3522"/>
    <s v="Bruno Almeida"/>
    <x v="1"/>
    <x v="290"/>
    <x v="0"/>
    <n v="5"/>
    <x v="2"/>
    <x v="1"/>
    <x v="1"/>
    <x v="1"/>
    <n v="0"/>
    <n v="0"/>
    <x v="1"/>
  </r>
  <r>
    <n v="3523"/>
    <s v="Carla Siqueira"/>
    <x v="0"/>
    <x v="291"/>
    <x v="1"/>
    <n v="15"/>
    <x v="0"/>
    <x v="0"/>
    <x v="0"/>
    <x v="0"/>
    <n v="20"/>
    <n v="3"/>
    <x v="3"/>
  </r>
  <r>
    <n v="3524"/>
    <s v="Diogo Ramos"/>
    <x v="2"/>
    <x v="292"/>
    <x v="0"/>
    <n v="10"/>
    <x v="1"/>
    <x v="1"/>
    <x v="1"/>
    <x v="0"/>
    <n v="20"/>
    <n v="15"/>
    <x v="7"/>
  </r>
  <r>
    <n v="3525"/>
    <s v="Elisa Magalhães"/>
    <x v="1"/>
    <x v="293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B8819-D1CB-4B66-A2FA-F9A2D43F23AD}" name="Valores_TotalPorMes" cacheId="17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 chartFormat="21">
  <location ref="B27:C40" firstHeaderRow="1" firstDataRow="1" firstDataCol="1" rowPageCount="2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hier="-1"/>
    <pageField fld="9" hier="-1"/>
  </pageFields>
  <dataFields count="1">
    <dataField name="Soma de Total Value" fld="12" baseField="14" baseItem="1" numFmtId="44"/>
  </dataFields>
  <formats count="1">
    <format dxfId="42">
      <pivotArea type="all" dataOnly="0" outline="0" fieldPosition="0"/>
    </format>
  </formats>
  <chartFormats count="2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EE6D8-1718-4AC5-8E96-EA3508592B35}" name="Valores_Plano-Recorrencia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B5:O21" firstHeaderRow="1" firstDataRow="4" firstDataCol="1" rowPageCount="2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6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3">
    <field x="14"/>
    <field x="13"/>
    <field x="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7" hier="-1"/>
    <pageField fld="9" hier="-1"/>
  </pageFields>
  <dataFields count="1">
    <dataField name="Soma de Total Value" fld="12" baseField="0" baseItem="0" numFmtId="44"/>
  </dataFields>
  <chartFormats count="121">
    <chartFormat chart="12" format="13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13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1"/>
          </reference>
        </references>
      </pivotArea>
    </chartFormat>
    <chartFormat chart="12" format="13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1"/>
          </reference>
        </references>
      </pivotArea>
    </chartFormat>
    <chartFormat chart="12" format="13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1"/>
          </reference>
        </references>
      </pivotArea>
    </chartFormat>
    <chartFormat chart="12" format="13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1"/>
          </reference>
        </references>
      </pivotArea>
    </chartFormat>
    <chartFormat chart="12" format="13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1"/>
          </reference>
        </references>
      </pivotArea>
    </chartFormat>
    <chartFormat chart="12" format="13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1"/>
          </reference>
        </references>
      </pivotArea>
    </chartFormat>
    <chartFormat chart="12" format="13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1"/>
          </reference>
        </references>
      </pivotArea>
    </chartFormat>
    <chartFormat chart="12" format="14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1"/>
          </reference>
        </references>
      </pivotArea>
    </chartFormat>
    <chartFormat chart="12" format="14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1"/>
          </reference>
        </references>
      </pivotArea>
    </chartFormat>
    <chartFormat chart="12" format="14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14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2"/>
          </reference>
        </references>
      </pivotArea>
    </chartFormat>
    <chartFormat chart="12" format="14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2"/>
          </reference>
        </references>
      </pivotArea>
    </chartFormat>
    <chartFormat chart="12" format="14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2"/>
          </reference>
        </references>
      </pivotArea>
    </chartFormat>
    <chartFormat chart="12" format="14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2"/>
          </reference>
        </references>
      </pivotArea>
    </chartFormat>
    <chartFormat chart="12" format="14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2"/>
          </reference>
        </references>
      </pivotArea>
    </chartFormat>
    <chartFormat chart="12" format="14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2"/>
          </reference>
        </references>
      </pivotArea>
    </chartFormat>
    <chartFormat chart="12" format="14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2"/>
          </reference>
        </references>
      </pivotArea>
    </chartFormat>
    <chartFormat chart="12" format="15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2"/>
          </reference>
        </references>
      </pivotArea>
    </chartFormat>
    <chartFormat chart="12" format="15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2"/>
          </reference>
        </references>
      </pivotArea>
    </chartFormat>
    <chartFormat chart="12" format="15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15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3"/>
          </reference>
        </references>
      </pivotArea>
    </chartFormat>
    <chartFormat chart="12" format="15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3"/>
          </reference>
        </references>
      </pivotArea>
    </chartFormat>
    <chartFormat chart="12" format="15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3"/>
          </reference>
        </references>
      </pivotArea>
    </chartFormat>
    <chartFormat chart="12" format="15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3"/>
          </reference>
        </references>
      </pivotArea>
    </chartFormat>
    <chartFormat chart="12" format="15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3"/>
          </reference>
        </references>
      </pivotArea>
    </chartFormat>
    <chartFormat chart="12" format="15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3"/>
          </reference>
        </references>
      </pivotArea>
    </chartFormat>
    <chartFormat chart="12" format="15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3"/>
          </reference>
        </references>
      </pivotArea>
    </chartFormat>
    <chartFormat chart="12" format="16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3"/>
          </reference>
        </references>
      </pivotArea>
    </chartFormat>
    <chartFormat chart="12" format="16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3"/>
          </reference>
        </references>
      </pivotArea>
    </chartFormat>
    <chartFormat chart="12" format="16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2" format="16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4"/>
          </reference>
        </references>
      </pivotArea>
    </chartFormat>
    <chartFormat chart="12" format="16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4"/>
          </reference>
        </references>
      </pivotArea>
    </chartFormat>
    <chartFormat chart="12" format="16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4"/>
          </reference>
        </references>
      </pivotArea>
    </chartFormat>
    <chartFormat chart="12" format="16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4"/>
          </reference>
        </references>
      </pivotArea>
    </chartFormat>
    <chartFormat chart="12" format="16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4"/>
          </reference>
        </references>
      </pivotArea>
    </chartFormat>
    <chartFormat chart="12" format="16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4"/>
          </reference>
        </references>
      </pivotArea>
    </chartFormat>
    <chartFormat chart="12" format="16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4"/>
          </reference>
        </references>
      </pivotArea>
    </chartFormat>
    <chartFormat chart="12" format="17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4"/>
          </reference>
        </references>
      </pivotArea>
    </chartFormat>
    <chartFormat chart="12" format="17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4"/>
          </reference>
        </references>
      </pivotArea>
    </chartFormat>
    <chartFormat chart="12" format="17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2" format="17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5"/>
          </reference>
        </references>
      </pivotArea>
    </chartFormat>
    <chartFormat chart="12" format="17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5"/>
          </reference>
        </references>
      </pivotArea>
    </chartFormat>
    <chartFormat chart="12" format="17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5"/>
          </reference>
        </references>
      </pivotArea>
    </chartFormat>
    <chartFormat chart="12" format="17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5"/>
          </reference>
        </references>
      </pivotArea>
    </chartFormat>
    <chartFormat chart="12" format="17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5"/>
          </reference>
        </references>
      </pivotArea>
    </chartFormat>
    <chartFormat chart="12" format="17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5"/>
          </reference>
        </references>
      </pivotArea>
    </chartFormat>
    <chartFormat chart="12" format="17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5"/>
          </reference>
        </references>
      </pivotArea>
    </chartFormat>
    <chartFormat chart="12" format="18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5"/>
          </reference>
        </references>
      </pivotArea>
    </chartFormat>
    <chartFormat chart="12" format="18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5"/>
          </reference>
        </references>
      </pivotArea>
    </chartFormat>
    <chartFormat chart="12" format="18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2" format="18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6"/>
          </reference>
        </references>
      </pivotArea>
    </chartFormat>
    <chartFormat chart="12" format="18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6"/>
          </reference>
        </references>
      </pivotArea>
    </chartFormat>
    <chartFormat chart="12" format="18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6"/>
          </reference>
        </references>
      </pivotArea>
    </chartFormat>
    <chartFormat chart="12" format="18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6"/>
          </reference>
        </references>
      </pivotArea>
    </chartFormat>
    <chartFormat chart="12" format="18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6"/>
          </reference>
        </references>
      </pivotArea>
    </chartFormat>
    <chartFormat chart="12" format="18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6"/>
          </reference>
        </references>
      </pivotArea>
    </chartFormat>
    <chartFormat chart="12" format="18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6"/>
          </reference>
        </references>
      </pivotArea>
    </chartFormat>
    <chartFormat chart="12" format="19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6"/>
          </reference>
        </references>
      </pivotArea>
    </chartFormat>
    <chartFormat chart="12" format="19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6"/>
          </reference>
        </references>
      </pivotArea>
    </chartFormat>
    <chartFormat chart="12" format="19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12" format="19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7"/>
          </reference>
        </references>
      </pivotArea>
    </chartFormat>
    <chartFormat chart="12" format="19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7"/>
          </reference>
        </references>
      </pivotArea>
    </chartFormat>
    <chartFormat chart="12" format="19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7"/>
          </reference>
        </references>
      </pivotArea>
    </chartFormat>
    <chartFormat chart="12" format="19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7"/>
          </reference>
        </references>
      </pivotArea>
    </chartFormat>
    <chartFormat chart="12" format="19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7"/>
          </reference>
        </references>
      </pivotArea>
    </chartFormat>
    <chartFormat chart="12" format="19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7"/>
          </reference>
        </references>
      </pivotArea>
    </chartFormat>
    <chartFormat chart="12" format="19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7"/>
          </reference>
        </references>
      </pivotArea>
    </chartFormat>
    <chartFormat chart="12" format="20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7"/>
          </reference>
        </references>
      </pivotArea>
    </chartFormat>
    <chartFormat chart="12" format="20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7"/>
          </reference>
        </references>
      </pivotArea>
    </chartFormat>
    <chartFormat chart="12" format="20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12" format="20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8"/>
          </reference>
        </references>
      </pivotArea>
    </chartFormat>
    <chartFormat chart="12" format="20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8"/>
          </reference>
        </references>
      </pivotArea>
    </chartFormat>
    <chartFormat chart="12" format="20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8"/>
          </reference>
        </references>
      </pivotArea>
    </chartFormat>
    <chartFormat chart="12" format="20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8"/>
          </reference>
        </references>
      </pivotArea>
    </chartFormat>
    <chartFormat chart="12" format="20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8"/>
          </reference>
        </references>
      </pivotArea>
    </chartFormat>
    <chartFormat chart="12" format="20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8"/>
          </reference>
        </references>
      </pivotArea>
    </chartFormat>
    <chartFormat chart="12" format="20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8"/>
          </reference>
        </references>
      </pivotArea>
    </chartFormat>
    <chartFormat chart="12" format="21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8"/>
          </reference>
        </references>
      </pivotArea>
    </chartFormat>
    <chartFormat chart="12" format="21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8"/>
          </reference>
        </references>
      </pivotArea>
    </chartFormat>
    <chartFormat chart="12" format="2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12" format="21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9"/>
          </reference>
        </references>
      </pivotArea>
    </chartFormat>
    <chartFormat chart="12" format="21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9"/>
          </reference>
        </references>
      </pivotArea>
    </chartFormat>
    <chartFormat chart="12" format="21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9"/>
          </reference>
        </references>
      </pivotArea>
    </chartFormat>
    <chartFormat chart="12" format="21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9"/>
          </reference>
        </references>
      </pivotArea>
    </chartFormat>
    <chartFormat chart="12" format="21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9"/>
          </reference>
        </references>
      </pivotArea>
    </chartFormat>
    <chartFormat chart="12" format="21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9"/>
          </reference>
        </references>
      </pivotArea>
    </chartFormat>
    <chartFormat chart="12" format="21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9"/>
          </reference>
        </references>
      </pivotArea>
    </chartFormat>
    <chartFormat chart="12" format="22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9"/>
          </reference>
        </references>
      </pivotArea>
    </chartFormat>
    <chartFormat chart="12" format="22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9"/>
          </reference>
        </references>
      </pivotArea>
    </chartFormat>
    <chartFormat chart="12" format="2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12" format="22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10"/>
          </reference>
        </references>
      </pivotArea>
    </chartFormat>
    <chartFormat chart="12" format="22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10"/>
          </reference>
        </references>
      </pivotArea>
    </chartFormat>
    <chartFormat chart="12" format="22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10"/>
          </reference>
        </references>
      </pivotArea>
    </chartFormat>
    <chartFormat chart="12" format="22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10"/>
          </reference>
        </references>
      </pivotArea>
    </chartFormat>
    <chartFormat chart="12" format="22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10"/>
          </reference>
        </references>
      </pivotArea>
    </chartFormat>
    <chartFormat chart="12" format="22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10"/>
          </reference>
        </references>
      </pivotArea>
    </chartFormat>
    <chartFormat chart="12" format="22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10"/>
          </reference>
        </references>
      </pivotArea>
    </chartFormat>
    <chartFormat chart="12" format="23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10"/>
          </reference>
        </references>
      </pivotArea>
    </chartFormat>
    <chartFormat chart="12" format="23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10"/>
          </reference>
        </references>
      </pivotArea>
    </chartFormat>
    <chartFormat chart="12" format="23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12" format="23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11"/>
          </reference>
        </references>
      </pivotArea>
    </chartFormat>
    <chartFormat chart="12" format="23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11"/>
          </reference>
        </references>
      </pivotArea>
    </chartFormat>
    <chartFormat chart="12" format="23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11"/>
          </reference>
        </references>
      </pivotArea>
    </chartFormat>
    <chartFormat chart="12" format="23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11"/>
          </reference>
        </references>
      </pivotArea>
    </chartFormat>
    <chartFormat chart="12" format="23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11"/>
          </reference>
        </references>
      </pivotArea>
    </chartFormat>
    <chartFormat chart="12" format="23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11"/>
          </reference>
        </references>
      </pivotArea>
    </chartFormat>
    <chartFormat chart="12" format="23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11"/>
          </reference>
        </references>
      </pivotArea>
    </chartFormat>
    <chartFormat chart="12" format="24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11"/>
          </reference>
        </references>
      </pivotArea>
    </chartFormat>
    <chartFormat chart="12" format="24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11"/>
          </reference>
        </references>
      </pivotArea>
    </chartFormat>
    <chartFormat chart="12" format="24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12" format="24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14" count="1" selected="0">
            <x v="12"/>
          </reference>
        </references>
      </pivotArea>
    </chartFormat>
    <chartFormat chart="12" format="24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  <reference field="14" count="1" selected="0">
            <x v="12"/>
          </reference>
        </references>
      </pivotArea>
    </chartFormat>
    <chartFormat chart="12" format="24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  <reference field="14" count="1" selected="0">
            <x v="12"/>
          </reference>
        </references>
      </pivotArea>
    </chartFormat>
    <chartFormat chart="12" format="24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14" count="1" selected="0">
            <x v="12"/>
          </reference>
        </references>
      </pivotArea>
    </chartFormat>
    <chartFormat chart="12" format="24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  <reference field="14" count="1" selected="0">
            <x v="12"/>
          </reference>
        </references>
      </pivotArea>
    </chartFormat>
    <chartFormat chart="12" format="24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  <reference field="14" count="1" selected="0">
            <x v="12"/>
          </reference>
        </references>
      </pivotArea>
    </chartFormat>
    <chartFormat chart="12" format="249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  <reference field="14" count="1" selected="0">
            <x v="12"/>
          </reference>
        </references>
      </pivotArea>
    </chartFormat>
    <chartFormat chart="12" format="250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  <reference field="14" count="1" selected="0">
            <x v="12"/>
          </reference>
        </references>
      </pivotArea>
    </chartFormat>
    <chartFormat chart="12" format="25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  <reference field="14" count="1" selected="0">
            <x v="12"/>
          </reference>
        </references>
      </pivotArea>
    </chartFormat>
    <chartFormat chart="12" format="25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9DB70-FAF5-49A9-BE45-8F86EA9D1056}" name="Contagem_Automatico-Plano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F27:J37" firstHeaderRow="1" firstDataRow="2" firstDataCol="1" rowPageCount="2" colPageCount="1"/>
  <pivotFields count="15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numFmtId="44" showAll="0"/>
    <pivotField axis="axisCol" showAll="0">
      <items count="4">
        <item x="1"/>
        <item x="0"/>
        <item x="2"/>
        <item t="default"/>
      </items>
    </pivotField>
    <pivotField axis="axisPage" multipleItemSelectionAllowed="1" showAll="0" countSubtotal="1">
      <items count="3">
        <item x="1"/>
        <item x="0"/>
        <item t="coun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4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2">
    <pageField fld="7" hier="-1"/>
    <pageField fld="9" hier="-1"/>
  </pageFields>
  <dataFields count="1">
    <dataField name="Contagem de Plan" fld="2" subtotal="count" baseField="0" baseItem="0"/>
  </dataFields>
  <chartFormats count="4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F8DBE555-BE8E-4BD4-B311-ED88F6685490}" sourceName="Meses (Start Date)">
  <pivotTables>
    <pivotTable tabId="5" name="Valores_Plano-Recorrencia"/>
    <pivotTable tabId="5" name="Valores_TotalPorMes"/>
  </pivotTables>
  <data>
    <tabular pivotCacheId="2026569309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5CFEC0AE-0383-4C90-9800-83490DE451AC}" sourceName="Auto Renewal">
  <pivotTables>
    <pivotTable tabId="5" name="Contagem_Automatico-Plano"/>
  </pivotTables>
  <data>
    <tabular pivotCacheId="2026569309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DD3CC2B1-9B00-4F7D-A8C3-50D2AB95BEC5}" sourceName="EA Play Season Pass">
  <pivotTables>
    <pivotTable tabId="5" name="Valores_Plano-Recorrencia"/>
    <pivotTable tabId="5" name="Contagem_Automatico-Plano"/>
    <pivotTable tabId="5" name="Valores_TotalPorMes"/>
  </pivotTables>
  <data>
    <tabular pivotCacheId="2026569309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42F22D6D-CC9C-4DE1-AD4C-350FBBBA770F}" sourceName="Minecraft Season Pass">
  <pivotTables>
    <pivotTable tabId="5" name="Valores_Plano-Recorrencia"/>
    <pivotTable tabId="5" name="Contagem_Automatico-Plano"/>
    <pivotTable tabId="5" name="Valores_TotalPorMes"/>
  </pivotTables>
  <data>
    <tabular pivotCacheId="202656930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Start Date) 1" xr10:uid="{82C3BCD8-33FC-4589-8595-B055CE07DDC2}" cache="SegmentaçãodeDados_Meses__Start_Date" caption="Mês" rowHeight="257175"/>
  <slicer name="Auto Renewal 1" xr10:uid="{CB397D56-9084-4CE5-A95F-6D204BBEB75C}" cache="SegmentaçãodeDados_Auto_Renewal" caption="(*) Assinatura Automática?" rowHeight="257175"/>
  <slicer name="EA Play Season Pass 1" xr10:uid="{A7E296BD-6EE4-4C73-86D5-1525C69B2FD6}" cache="SegmentaçãodeDados_EA_Play_Season_Pass" caption="(*) Assinou EA Pass?" rowHeight="257175"/>
  <slicer name="Minecraft Season Pass 1" xr10:uid="{0A006ED7-E83A-4FBE-BE3F-A894BB83483C}" cache="SegmentaçãodeDados_Minecraft_Season_Pass" caption="(*) Assinou Minecraft Pass?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6">
  <autoFilter ref="A1:M296" xr:uid="{34E0E886-4200-4B36-97B3-63DB74FF40A0}"/>
  <tableColumns count="13">
    <tableColumn id="1" xr3:uid="{C4A90516-688A-46BF-9167-EA16C2A8A652}" name="Subscriber ID" dataDxfId="55"/>
    <tableColumn id="2" xr3:uid="{53DD39D0-2220-4121-9E9D-4EAA7E151C0F}" name="Name" dataDxfId="54"/>
    <tableColumn id="3" xr3:uid="{4F5FF271-4C57-4BE0-8F2C-F82C8551625C}" name="Plan" dataDxfId="53"/>
    <tableColumn id="4" xr3:uid="{8C17EB93-79B9-4E55-B8F7-BEB82F8253E9}" name="Start Date" dataDxfId="52"/>
    <tableColumn id="5" xr3:uid="{48CEDF9B-1689-482A-A828-5CCE7713264A}" name="Auto Renewal" dataDxfId="51"/>
    <tableColumn id="6" xr3:uid="{78B82374-9AA7-4E38-AE4F-78CDE6C83720}" name="Subscription Price" dataDxfId="50" dataCellStyle="Moeda"/>
    <tableColumn id="7" xr3:uid="{F2433F68-AF33-49D0-B1FB-19A396074EDE}" name="Subscription Type" dataDxfId="49"/>
    <tableColumn id="8" xr3:uid="{FD4D9C95-F6E5-4933-9068-A71FF7DF9343}" name="EA Play Season Pass" dataDxfId="48"/>
    <tableColumn id="13" xr3:uid="{978DD0D2-834E-4CE4-A39B-30976086932F}" name="EA Play Season Pass_x000a_Price" dataDxfId="47" dataCellStyle="Moeda"/>
    <tableColumn id="9" xr3:uid="{6E29F111-C395-4580-9DAD-3407D9E8B1A4}" name="Minecraft Season Pass" dataDxfId="46"/>
    <tableColumn id="10" xr3:uid="{EF544EAA-7F25-4FD5-A10E-8E62804DB9E3}" name="Minecraft Season Pass Price" dataDxfId="45" dataCellStyle="Moeda"/>
    <tableColumn id="11" xr3:uid="{7F6EB64A-1F07-4E48-9F0F-AC7D9DCD26F8}" name="Coupon Value" dataDxfId="44" dataCellStyle="Moeda"/>
    <tableColumn id="12" xr3:uid="{2B04ABC8-DE6F-426E-ADC0-D8AFC68CA58E}" name="Total Value" dataDxfId="4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Normal="100" workbookViewId="0">
      <selection activeCell="H20" sqref="H2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178E-146A-48F8-80C7-209010B1914D}">
  <sheetPr>
    <tabColor theme="3" tint="0.749992370372631"/>
  </sheetPr>
  <dimension ref="B2:O40"/>
  <sheetViews>
    <sheetView zoomScaleNormal="100" workbookViewId="0">
      <selection activeCell="AC7" sqref="AC7"/>
    </sheetView>
  </sheetViews>
  <sheetFormatPr defaultColWidth="9.85546875" defaultRowHeight="15" x14ac:dyDescent="0.25"/>
  <cols>
    <col min="2" max="2" width="21.140625" bestFit="1" customWidth="1"/>
    <col min="3" max="3" width="19.28515625" bestFit="1" customWidth="1"/>
    <col min="4" max="4" width="9.7109375" bestFit="1" customWidth="1"/>
    <col min="5" max="5" width="10.7109375" bestFit="1" customWidth="1"/>
    <col min="6" max="6" width="21.140625" bestFit="1" customWidth="1"/>
    <col min="7" max="7" width="20.140625" bestFit="1" customWidth="1"/>
    <col min="8" max="8" width="8.28515625" bestFit="1" customWidth="1"/>
    <col min="9" max="9" width="9.42578125" bestFit="1" customWidth="1"/>
    <col min="10" max="14" width="10.7109375" bestFit="1" customWidth="1"/>
    <col min="15" max="18" width="12.28515625" bestFit="1" customWidth="1"/>
    <col min="19" max="19" width="10.7109375" bestFit="1" customWidth="1"/>
  </cols>
  <sheetData>
    <row r="2" spans="2:15" x14ac:dyDescent="0.25">
      <c r="B2" s="12" t="s">
        <v>309</v>
      </c>
      <c r="C2" t="s">
        <v>317</v>
      </c>
    </row>
    <row r="3" spans="2:15" x14ac:dyDescent="0.25">
      <c r="B3" s="12" t="s">
        <v>30</v>
      </c>
      <c r="C3" t="s">
        <v>317</v>
      </c>
    </row>
    <row r="5" spans="2:15" x14ac:dyDescent="0.25">
      <c r="B5" s="12" t="s">
        <v>315</v>
      </c>
      <c r="C5" s="12" t="s">
        <v>316</v>
      </c>
    </row>
    <row r="6" spans="2:15" x14ac:dyDescent="0.25">
      <c r="C6" t="s">
        <v>319</v>
      </c>
      <c r="D6" t="s">
        <v>320</v>
      </c>
      <c r="E6" t="s">
        <v>321</v>
      </c>
      <c r="F6" t="s">
        <v>322</v>
      </c>
      <c r="G6" t="s">
        <v>323</v>
      </c>
      <c r="H6" t="s">
        <v>324</v>
      </c>
      <c r="I6" t="s">
        <v>325</v>
      </c>
      <c r="J6" t="s">
        <v>326</v>
      </c>
      <c r="K6" t="s">
        <v>327</v>
      </c>
      <c r="L6" t="s">
        <v>328</v>
      </c>
      <c r="M6" t="s">
        <v>329</v>
      </c>
      <c r="N6" t="s">
        <v>330</v>
      </c>
      <c r="O6" t="s">
        <v>314</v>
      </c>
    </row>
    <row r="8" spans="2:15" x14ac:dyDescent="0.25">
      <c r="B8" s="12" t="s">
        <v>313</v>
      </c>
    </row>
    <row r="9" spans="2:15" x14ac:dyDescent="0.25">
      <c r="B9" s="13" t="s">
        <v>22</v>
      </c>
      <c r="C9" s="15">
        <v>5</v>
      </c>
      <c r="D9" s="15"/>
      <c r="E9" s="15">
        <v>48</v>
      </c>
      <c r="F9" s="15">
        <v>44</v>
      </c>
      <c r="G9" s="15">
        <v>49</v>
      </c>
      <c r="H9" s="15">
        <v>43</v>
      </c>
      <c r="I9" s="15">
        <v>48</v>
      </c>
      <c r="J9" s="15">
        <v>49</v>
      </c>
      <c r="K9" s="15">
        <v>44</v>
      </c>
      <c r="L9" s="15">
        <v>44</v>
      </c>
      <c r="M9" s="15">
        <v>44</v>
      </c>
      <c r="N9" s="15">
        <v>26</v>
      </c>
      <c r="O9" s="15">
        <v>444</v>
      </c>
    </row>
    <row r="10" spans="2:15" x14ac:dyDescent="0.25">
      <c r="B10" s="14" t="s">
        <v>24</v>
      </c>
      <c r="C10" s="15">
        <v>5</v>
      </c>
      <c r="D10" s="15"/>
      <c r="E10" s="15">
        <v>15</v>
      </c>
      <c r="F10" s="15">
        <v>10</v>
      </c>
      <c r="G10" s="15">
        <v>15</v>
      </c>
      <c r="H10" s="15">
        <v>15</v>
      </c>
      <c r="I10" s="15">
        <v>10</v>
      </c>
      <c r="J10" s="15">
        <v>10</v>
      </c>
      <c r="K10" s="15">
        <v>10</v>
      </c>
      <c r="L10" s="15">
        <v>15</v>
      </c>
      <c r="M10" s="15">
        <v>10</v>
      </c>
      <c r="N10" s="15">
        <v>5</v>
      </c>
      <c r="O10" s="15">
        <v>120</v>
      </c>
    </row>
    <row r="11" spans="2:15" x14ac:dyDescent="0.25">
      <c r="B11" s="14" t="s">
        <v>20</v>
      </c>
      <c r="C11" s="15"/>
      <c r="D11" s="15"/>
      <c r="E11" s="15">
        <v>23</v>
      </c>
      <c r="F11" s="15">
        <v>20</v>
      </c>
      <c r="G11" s="15">
        <v>20</v>
      </c>
      <c r="H11" s="15">
        <v>15</v>
      </c>
      <c r="I11" s="15">
        <v>24</v>
      </c>
      <c r="J11" s="15">
        <v>20</v>
      </c>
      <c r="K11" s="15">
        <v>20</v>
      </c>
      <c r="L11" s="15">
        <v>19</v>
      </c>
      <c r="M11" s="15">
        <v>20</v>
      </c>
      <c r="N11" s="15">
        <v>11</v>
      </c>
      <c r="O11" s="15">
        <v>192</v>
      </c>
    </row>
    <row r="12" spans="2:15" x14ac:dyDescent="0.25">
      <c r="B12" s="14" t="s">
        <v>27</v>
      </c>
      <c r="C12" s="15"/>
      <c r="D12" s="15"/>
      <c r="E12" s="15">
        <v>10</v>
      </c>
      <c r="F12" s="15">
        <v>14</v>
      </c>
      <c r="G12" s="15">
        <v>14</v>
      </c>
      <c r="H12" s="15">
        <v>13</v>
      </c>
      <c r="I12" s="15">
        <v>14</v>
      </c>
      <c r="J12" s="15">
        <v>19</v>
      </c>
      <c r="K12" s="15">
        <v>14</v>
      </c>
      <c r="L12" s="15">
        <v>10</v>
      </c>
      <c r="M12" s="15">
        <v>14</v>
      </c>
      <c r="N12" s="15">
        <v>10</v>
      </c>
      <c r="O12" s="15">
        <v>132</v>
      </c>
    </row>
    <row r="13" spans="2:15" x14ac:dyDescent="0.25">
      <c r="B13" s="13" t="s">
        <v>26</v>
      </c>
      <c r="C13" s="15"/>
      <c r="D13" s="15">
        <v>20</v>
      </c>
      <c r="E13" s="15">
        <v>191</v>
      </c>
      <c r="F13" s="15">
        <v>193</v>
      </c>
      <c r="G13" s="15">
        <v>183</v>
      </c>
      <c r="H13" s="15">
        <v>196</v>
      </c>
      <c r="I13" s="15">
        <v>188</v>
      </c>
      <c r="J13" s="15">
        <v>188</v>
      </c>
      <c r="K13" s="15">
        <v>188</v>
      </c>
      <c r="L13" s="15">
        <v>178</v>
      </c>
      <c r="M13" s="15">
        <v>188</v>
      </c>
      <c r="N13" s="15">
        <v>88</v>
      </c>
      <c r="O13" s="15">
        <v>1801</v>
      </c>
    </row>
    <row r="14" spans="2:15" x14ac:dyDescent="0.25">
      <c r="B14" s="14" t="s">
        <v>24</v>
      </c>
      <c r="C14" s="15"/>
      <c r="D14" s="15"/>
      <c r="E14" s="15">
        <v>33</v>
      </c>
      <c r="F14" s="15">
        <v>50</v>
      </c>
      <c r="G14" s="15">
        <v>50</v>
      </c>
      <c r="H14" s="15">
        <v>55</v>
      </c>
      <c r="I14" s="15">
        <v>50</v>
      </c>
      <c r="J14" s="15">
        <v>50</v>
      </c>
      <c r="K14" s="15">
        <v>50</v>
      </c>
      <c r="L14" s="15">
        <v>45</v>
      </c>
      <c r="M14" s="15">
        <v>35</v>
      </c>
      <c r="N14" s="15">
        <v>30</v>
      </c>
      <c r="O14" s="15">
        <v>448</v>
      </c>
    </row>
    <row r="15" spans="2:15" x14ac:dyDescent="0.25">
      <c r="B15" s="14" t="s">
        <v>20</v>
      </c>
      <c r="C15" s="15"/>
      <c r="D15" s="15"/>
      <c r="E15" s="15">
        <v>113</v>
      </c>
      <c r="F15" s="15">
        <v>110</v>
      </c>
      <c r="G15" s="15">
        <v>85</v>
      </c>
      <c r="H15" s="15">
        <v>90</v>
      </c>
      <c r="I15" s="15">
        <v>105</v>
      </c>
      <c r="J15" s="15">
        <v>105</v>
      </c>
      <c r="K15" s="15">
        <v>105</v>
      </c>
      <c r="L15" s="15">
        <v>100</v>
      </c>
      <c r="M15" s="15">
        <v>105</v>
      </c>
      <c r="N15" s="15">
        <v>40</v>
      </c>
      <c r="O15" s="15">
        <v>958</v>
      </c>
    </row>
    <row r="16" spans="2:15" x14ac:dyDescent="0.25">
      <c r="B16" s="14" t="s">
        <v>27</v>
      </c>
      <c r="C16" s="15"/>
      <c r="D16" s="15">
        <v>20</v>
      </c>
      <c r="E16" s="15">
        <v>45</v>
      </c>
      <c r="F16" s="15">
        <v>33</v>
      </c>
      <c r="G16" s="15">
        <v>48</v>
      </c>
      <c r="H16" s="15">
        <v>51</v>
      </c>
      <c r="I16" s="15">
        <v>33</v>
      </c>
      <c r="J16" s="15">
        <v>33</v>
      </c>
      <c r="K16" s="15">
        <v>33</v>
      </c>
      <c r="L16" s="15">
        <v>33</v>
      </c>
      <c r="M16" s="15">
        <v>48</v>
      </c>
      <c r="N16" s="15">
        <v>18</v>
      </c>
      <c r="O16" s="15">
        <v>395</v>
      </c>
    </row>
    <row r="17" spans="2:15" x14ac:dyDescent="0.25">
      <c r="B17" s="13" t="s">
        <v>18</v>
      </c>
      <c r="C17" s="15">
        <v>60</v>
      </c>
      <c r="D17" s="15">
        <v>62</v>
      </c>
      <c r="E17" s="15">
        <v>562</v>
      </c>
      <c r="F17" s="15">
        <v>545</v>
      </c>
      <c r="G17" s="15">
        <v>545</v>
      </c>
      <c r="H17" s="15">
        <v>531</v>
      </c>
      <c r="I17" s="15">
        <v>548</v>
      </c>
      <c r="J17" s="15">
        <v>550</v>
      </c>
      <c r="K17" s="15">
        <v>548</v>
      </c>
      <c r="L17" s="15">
        <v>610</v>
      </c>
      <c r="M17" s="15">
        <v>552</v>
      </c>
      <c r="N17" s="15">
        <v>275</v>
      </c>
      <c r="O17" s="15">
        <v>5388</v>
      </c>
    </row>
    <row r="18" spans="2:15" x14ac:dyDescent="0.25">
      <c r="B18" s="14" t="s">
        <v>24</v>
      </c>
      <c r="C18" s="15"/>
      <c r="D18" s="15"/>
      <c r="E18" s="15">
        <v>90</v>
      </c>
      <c r="F18" s="15">
        <v>122</v>
      </c>
      <c r="G18" s="15">
        <v>122</v>
      </c>
      <c r="H18" s="15">
        <v>60</v>
      </c>
      <c r="I18" s="15">
        <v>122</v>
      </c>
      <c r="J18" s="15">
        <v>182</v>
      </c>
      <c r="K18" s="15">
        <v>122</v>
      </c>
      <c r="L18" s="15">
        <v>122</v>
      </c>
      <c r="M18" s="15">
        <v>184</v>
      </c>
      <c r="N18" s="15">
        <v>60</v>
      </c>
      <c r="O18" s="15">
        <v>1186</v>
      </c>
    </row>
    <row r="19" spans="2:15" x14ac:dyDescent="0.25">
      <c r="B19" s="14" t="s">
        <v>20</v>
      </c>
      <c r="C19" s="15">
        <v>60</v>
      </c>
      <c r="D19" s="15">
        <v>62</v>
      </c>
      <c r="E19" s="15">
        <v>301</v>
      </c>
      <c r="F19" s="15">
        <v>217</v>
      </c>
      <c r="G19" s="15">
        <v>217</v>
      </c>
      <c r="H19" s="15">
        <v>265</v>
      </c>
      <c r="I19" s="15">
        <v>207</v>
      </c>
      <c r="J19" s="15">
        <v>207</v>
      </c>
      <c r="K19" s="15">
        <v>207</v>
      </c>
      <c r="L19" s="15">
        <v>314</v>
      </c>
      <c r="M19" s="15">
        <v>207</v>
      </c>
      <c r="N19" s="15">
        <v>157</v>
      </c>
      <c r="O19" s="15">
        <v>2421</v>
      </c>
    </row>
    <row r="20" spans="2:15" x14ac:dyDescent="0.25">
      <c r="B20" s="14" t="s">
        <v>27</v>
      </c>
      <c r="C20" s="15"/>
      <c r="D20" s="15"/>
      <c r="E20" s="15">
        <v>171</v>
      </c>
      <c r="F20" s="15">
        <v>206</v>
      </c>
      <c r="G20" s="15">
        <v>206</v>
      </c>
      <c r="H20" s="15">
        <v>206</v>
      </c>
      <c r="I20" s="15">
        <v>219</v>
      </c>
      <c r="J20" s="15">
        <v>161</v>
      </c>
      <c r="K20" s="15">
        <v>219</v>
      </c>
      <c r="L20" s="15">
        <v>174</v>
      </c>
      <c r="M20" s="15">
        <v>161</v>
      </c>
      <c r="N20" s="15">
        <v>58</v>
      </c>
      <c r="O20" s="15">
        <v>1781</v>
      </c>
    </row>
    <row r="21" spans="2:15" x14ac:dyDescent="0.25">
      <c r="B21" s="13" t="s">
        <v>314</v>
      </c>
      <c r="C21" s="15">
        <v>65</v>
      </c>
      <c r="D21" s="15">
        <v>82</v>
      </c>
      <c r="E21" s="15">
        <v>801</v>
      </c>
      <c r="F21" s="15">
        <v>782</v>
      </c>
      <c r="G21" s="15">
        <v>777</v>
      </c>
      <c r="H21" s="15">
        <v>770</v>
      </c>
      <c r="I21" s="15">
        <v>784</v>
      </c>
      <c r="J21" s="15">
        <v>787</v>
      </c>
      <c r="K21" s="15">
        <v>780</v>
      </c>
      <c r="L21" s="15">
        <v>832</v>
      </c>
      <c r="M21" s="15">
        <v>784</v>
      </c>
      <c r="N21" s="15">
        <v>389</v>
      </c>
      <c r="O21" s="15">
        <v>7633</v>
      </c>
    </row>
    <row r="24" spans="2:15" x14ac:dyDescent="0.25">
      <c r="B24" s="32" t="s">
        <v>309</v>
      </c>
      <c r="C24" s="33" t="s">
        <v>317</v>
      </c>
      <c r="F24" s="12" t="s">
        <v>309</v>
      </c>
      <c r="G24" t="s">
        <v>317</v>
      </c>
    </row>
    <row r="25" spans="2:15" x14ac:dyDescent="0.25">
      <c r="B25" s="32" t="s">
        <v>30</v>
      </c>
      <c r="C25" s="33" t="s">
        <v>317</v>
      </c>
      <c r="F25" s="12" t="s">
        <v>30</v>
      </c>
      <c r="G25" t="s">
        <v>317</v>
      </c>
    </row>
    <row r="27" spans="2:15" x14ac:dyDescent="0.25">
      <c r="B27" s="33"/>
      <c r="C27" s="33" t="s">
        <v>315</v>
      </c>
      <c r="F27" s="12" t="s">
        <v>318</v>
      </c>
      <c r="G27" s="12" t="s">
        <v>316</v>
      </c>
    </row>
    <row r="28" spans="2:15" x14ac:dyDescent="0.25">
      <c r="B28" s="34" t="s">
        <v>319</v>
      </c>
      <c r="C28" s="35">
        <v>65</v>
      </c>
      <c r="F28" s="12" t="s">
        <v>313</v>
      </c>
      <c r="G28" t="s">
        <v>24</v>
      </c>
      <c r="H28" t="s">
        <v>20</v>
      </c>
      <c r="I28" t="s">
        <v>27</v>
      </c>
      <c r="J28" t="s">
        <v>314</v>
      </c>
    </row>
    <row r="29" spans="2:15" x14ac:dyDescent="0.25">
      <c r="B29" s="34" t="s">
        <v>320</v>
      </c>
      <c r="C29" s="35">
        <v>82</v>
      </c>
      <c r="F29" s="13" t="s">
        <v>23</v>
      </c>
      <c r="G29" s="31">
        <v>11</v>
      </c>
      <c r="H29" s="31">
        <v>111</v>
      </c>
      <c r="I29" s="31">
        <v>25</v>
      </c>
      <c r="J29" s="31">
        <v>147</v>
      </c>
    </row>
    <row r="30" spans="2:15" x14ac:dyDescent="0.25">
      <c r="B30" s="34" t="s">
        <v>321</v>
      </c>
      <c r="C30" s="35">
        <v>801</v>
      </c>
      <c r="F30" s="14" t="s">
        <v>22</v>
      </c>
      <c r="G30" s="31">
        <v>5</v>
      </c>
      <c r="H30" s="31">
        <v>37</v>
      </c>
      <c r="I30" s="31">
        <v>8</v>
      </c>
      <c r="J30" s="31">
        <v>50</v>
      </c>
    </row>
    <row r="31" spans="2:15" x14ac:dyDescent="0.25">
      <c r="B31" s="34" t="s">
        <v>322</v>
      </c>
      <c r="C31" s="35">
        <v>782</v>
      </c>
      <c r="F31" s="14" t="s">
        <v>26</v>
      </c>
      <c r="G31" s="31">
        <v>4</v>
      </c>
      <c r="H31" s="31">
        <v>40</v>
      </c>
      <c r="I31" s="31">
        <v>3</v>
      </c>
      <c r="J31" s="31">
        <v>47</v>
      </c>
    </row>
    <row r="32" spans="2:15" x14ac:dyDescent="0.25">
      <c r="B32" s="34" t="s">
        <v>323</v>
      </c>
      <c r="C32" s="35">
        <v>777</v>
      </c>
      <c r="F32" s="14" t="s">
        <v>18</v>
      </c>
      <c r="G32" s="31">
        <v>2</v>
      </c>
      <c r="H32" s="31">
        <v>34</v>
      </c>
      <c r="I32" s="31">
        <v>14</v>
      </c>
      <c r="J32" s="31">
        <v>50</v>
      </c>
    </row>
    <row r="33" spans="2:10" x14ac:dyDescent="0.25">
      <c r="B33" s="34" t="s">
        <v>324</v>
      </c>
      <c r="C33" s="35">
        <v>770</v>
      </c>
      <c r="F33" s="13" t="s">
        <v>19</v>
      </c>
      <c r="G33" s="31">
        <v>60</v>
      </c>
      <c r="H33" s="31">
        <v>28</v>
      </c>
      <c r="I33" s="31">
        <v>60</v>
      </c>
      <c r="J33" s="31">
        <v>148</v>
      </c>
    </row>
    <row r="34" spans="2:10" x14ac:dyDescent="0.25">
      <c r="B34" s="34" t="s">
        <v>325</v>
      </c>
      <c r="C34" s="35">
        <v>784</v>
      </c>
      <c r="F34" s="14" t="s">
        <v>22</v>
      </c>
      <c r="G34" s="31">
        <v>19</v>
      </c>
      <c r="H34" s="31">
        <v>12</v>
      </c>
      <c r="I34" s="31">
        <v>20</v>
      </c>
      <c r="J34" s="31">
        <v>51</v>
      </c>
    </row>
    <row r="35" spans="2:10" x14ac:dyDescent="0.25">
      <c r="B35" s="34" t="s">
        <v>326</v>
      </c>
      <c r="C35" s="35">
        <v>787</v>
      </c>
      <c r="F35" s="14" t="s">
        <v>26</v>
      </c>
      <c r="G35" s="31">
        <v>23</v>
      </c>
      <c r="H35" s="31">
        <v>5</v>
      </c>
      <c r="I35" s="31">
        <v>21</v>
      </c>
      <c r="J35" s="31">
        <v>49</v>
      </c>
    </row>
    <row r="36" spans="2:10" x14ac:dyDescent="0.25">
      <c r="B36" s="34" t="s">
        <v>327</v>
      </c>
      <c r="C36" s="35">
        <v>780</v>
      </c>
      <c r="F36" s="14" t="s">
        <v>18</v>
      </c>
      <c r="G36" s="31">
        <v>18</v>
      </c>
      <c r="H36" s="31">
        <v>11</v>
      </c>
      <c r="I36" s="31">
        <v>19</v>
      </c>
      <c r="J36" s="31">
        <v>48</v>
      </c>
    </row>
    <row r="37" spans="2:10" x14ac:dyDescent="0.25">
      <c r="B37" s="34" t="s">
        <v>328</v>
      </c>
      <c r="C37" s="35">
        <v>832</v>
      </c>
      <c r="F37" s="13" t="s">
        <v>314</v>
      </c>
      <c r="G37" s="31">
        <v>71</v>
      </c>
      <c r="H37" s="31">
        <v>139</v>
      </c>
      <c r="I37" s="31">
        <v>85</v>
      </c>
      <c r="J37" s="31">
        <v>295</v>
      </c>
    </row>
    <row r="38" spans="2:10" x14ac:dyDescent="0.25">
      <c r="B38" s="34" t="s">
        <v>329</v>
      </c>
      <c r="C38" s="35">
        <v>784</v>
      </c>
    </row>
    <row r="39" spans="2:10" x14ac:dyDescent="0.25">
      <c r="B39" s="34" t="s">
        <v>330</v>
      </c>
      <c r="C39" s="35">
        <v>389</v>
      </c>
    </row>
    <row r="40" spans="2:10" x14ac:dyDescent="0.25">
      <c r="B40" s="34" t="s">
        <v>314</v>
      </c>
      <c r="C40" s="35">
        <v>7633</v>
      </c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C2:Y44"/>
  <sheetViews>
    <sheetView showGridLines="0" tabSelected="1" zoomScaleNormal="100" workbookViewId="0">
      <selection activeCell="AE29" sqref="AE29"/>
    </sheetView>
  </sheetViews>
  <sheetFormatPr defaultRowHeight="15" x14ac:dyDescent="0.25"/>
  <cols>
    <col min="1" max="1" width="5" style="16" customWidth="1"/>
    <col min="2" max="2" width="3.5703125" style="16" customWidth="1"/>
    <col min="3" max="11" width="9.140625" style="16"/>
    <col min="12" max="12" width="6.5703125" style="16" customWidth="1"/>
    <col min="13" max="13" width="5" style="16" bestFit="1" customWidth="1"/>
    <col min="14" max="16384" width="9.140625" style="16"/>
  </cols>
  <sheetData>
    <row r="2" spans="3:25" ht="39" customHeight="1" x14ac:dyDescent="0.25">
      <c r="C2" s="21" t="s">
        <v>331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3:25" ht="8.25" customHeight="1" x14ac:dyDescent="0.25"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3:25" ht="7.5" customHeight="1" x14ac:dyDescent="0.25"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3:25" ht="10.5" customHeight="1" x14ac:dyDescent="0.25"/>
    <row r="6" spans="3:25" ht="9.75" customHeight="1" x14ac:dyDescent="0.25"/>
    <row r="7" spans="3:25" ht="33" customHeight="1" x14ac:dyDescent="0.25"/>
    <row r="26" spans="12:20" ht="15.75" thickBot="1" x14ac:dyDescent="0.3">
      <c r="M26" s="19"/>
      <c r="N26" s="19"/>
      <c r="O26" s="19"/>
      <c r="P26" s="19"/>
      <c r="Q26" s="19"/>
      <c r="R26" s="19"/>
      <c r="S26" s="19"/>
    </row>
    <row r="27" spans="12:20" x14ac:dyDescent="0.25">
      <c r="L27" s="17"/>
      <c r="M27" s="22" t="str">
        <f>TEXT(GETPIVOTDATA("Total Value",'Tabelas Dinâmicas'!$B$27),"R$ #.##0,00")</f>
        <v>R$ 7.633,00</v>
      </c>
      <c r="N27" s="23"/>
      <c r="O27" s="23"/>
      <c r="P27" s="23"/>
      <c r="Q27" s="23"/>
      <c r="R27" s="23"/>
      <c r="S27" s="24"/>
      <c r="T27" s="18"/>
    </row>
    <row r="28" spans="12:20" x14ac:dyDescent="0.25">
      <c r="L28" s="17"/>
      <c r="M28" s="25"/>
      <c r="N28" s="26"/>
      <c r="O28" s="26"/>
      <c r="P28" s="26"/>
      <c r="Q28" s="26"/>
      <c r="R28" s="26"/>
      <c r="S28" s="27"/>
      <c r="T28" s="18"/>
    </row>
    <row r="29" spans="12:20" x14ac:dyDescent="0.25">
      <c r="L29" s="17"/>
      <c r="M29" s="25"/>
      <c r="N29" s="26"/>
      <c r="O29" s="26"/>
      <c r="P29" s="26"/>
      <c r="Q29" s="26"/>
      <c r="R29" s="26"/>
      <c r="S29" s="27"/>
      <c r="T29" s="18"/>
    </row>
    <row r="30" spans="12:20" x14ac:dyDescent="0.25">
      <c r="L30" s="17"/>
      <c r="M30" s="25"/>
      <c r="N30" s="26"/>
      <c r="O30" s="26"/>
      <c r="P30" s="26"/>
      <c r="Q30" s="26"/>
      <c r="R30" s="26"/>
      <c r="S30" s="27"/>
      <c r="T30" s="18"/>
    </row>
    <row r="31" spans="12:20" x14ac:dyDescent="0.25">
      <c r="L31" s="17"/>
      <c r="M31" s="25"/>
      <c r="N31" s="26"/>
      <c r="O31" s="26"/>
      <c r="P31" s="26"/>
      <c r="Q31" s="26"/>
      <c r="R31" s="26"/>
      <c r="S31" s="27"/>
      <c r="T31" s="18"/>
    </row>
    <row r="32" spans="12:20" x14ac:dyDescent="0.25">
      <c r="L32" s="17"/>
      <c r="M32" s="25"/>
      <c r="N32" s="26"/>
      <c r="O32" s="26"/>
      <c r="P32" s="26"/>
      <c r="Q32" s="26"/>
      <c r="R32" s="26"/>
      <c r="S32" s="27"/>
      <c r="T32" s="18"/>
    </row>
    <row r="33" spans="12:20" x14ac:dyDescent="0.25">
      <c r="L33" s="17"/>
      <c r="M33" s="25"/>
      <c r="N33" s="26"/>
      <c r="O33" s="26"/>
      <c r="P33" s="26"/>
      <c r="Q33" s="26"/>
      <c r="R33" s="26"/>
      <c r="S33" s="27"/>
      <c r="T33" s="18"/>
    </row>
    <row r="34" spans="12:20" x14ac:dyDescent="0.25">
      <c r="L34" s="17"/>
      <c r="M34" s="25"/>
      <c r="N34" s="26"/>
      <c r="O34" s="26"/>
      <c r="P34" s="26"/>
      <c r="Q34" s="26"/>
      <c r="R34" s="26"/>
      <c r="S34" s="27"/>
      <c r="T34" s="18"/>
    </row>
    <row r="35" spans="12:20" ht="15.75" thickBot="1" x14ac:dyDescent="0.3">
      <c r="L35" s="17"/>
      <c r="M35" s="28"/>
      <c r="N35" s="29"/>
      <c r="O35" s="29"/>
      <c r="P35" s="29"/>
      <c r="Q35" s="29"/>
      <c r="R35" s="29"/>
      <c r="S35" s="30"/>
      <c r="T35" s="18"/>
    </row>
    <row r="36" spans="12:20" x14ac:dyDescent="0.25">
      <c r="M36" s="20"/>
      <c r="N36" s="20"/>
      <c r="O36" s="20"/>
      <c r="P36" s="20"/>
      <c r="Q36" s="20"/>
      <c r="R36" s="20"/>
      <c r="S36" s="20"/>
    </row>
    <row r="44" spans="12:20" x14ac:dyDescent="0.25">
      <c r="M44" s="16">
        <f>GETPIVOTDATA("Total Value",'Tabelas Dinâmicas'!$B$27)</f>
        <v>7633</v>
      </c>
    </row>
  </sheetData>
  <mergeCells count="2">
    <mergeCell ref="C2:Y4"/>
    <mergeCell ref="M27:S3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Tabelas Dinâmicas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de Souza, Shayenne Cristine (TR Technology)</cp:lastModifiedBy>
  <dcterms:created xsi:type="dcterms:W3CDTF">2024-12-19T13:13:10Z</dcterms:created>
  <dcterms:modified xsi:type="dcterms:W3CDTF">2026-01-30T02:55:25Z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